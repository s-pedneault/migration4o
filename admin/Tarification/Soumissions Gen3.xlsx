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ain/Desktop/GT/_Clients/"/>
    </mc:Choice>
  </mc:AlternateContent>
  <xr:revisionPtr revIDLastSave="0" documentId="13_ncr:1_{EEAB1DD8-684C-2848-9708-CD18B9CDA60A}" xr6:coauthVersionLast="47" xr6:coauthVersionMax="47" xr10:uidLastSave="{00000000-0000-0000-0000-000000000000}"/>
  <bookViews>
    <workbookView xWindow="0" yWindow="500" windowWidth="23060" windowHeight="19100" xr2:uid="{95DA9C45-7881-A84A-8BA8-7F5BDDABCE18}"/>
  </bookViews>
  <sheets>
    <sheet name="Soumission" sheetId="1" r:id="rId1"/>
    <sheet name="Prix" sheetId="3" r:id="rId2"/>
    <sheet name="Données" sheetId="2" r:id="rId3"/>
  </sheets>
  <definedNames>
    <definedName name="_xlnm.Print_Area" localSheetId="0">Soumission!$A$1:$I$47</definedName>
    <definedName name="TOTAL">Soumission!$I$46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9" i="1"/>
  <c r="I30" i="1"/>
  <c r="I31" i="1"/>
  <c r="I27" i="1"/>
  <c r="I24" i="1"/>
  <c r="G24" i="1"/>
  <c r="E24" i="1"/>
  <c r="F28" i="1" s="1"/>
  <c r="F29" i="1"/>
  <c r="F30" i="1"/>
  <c r="F31" i="1"/>
  <c r="F27" i="1"/>
  <c r="A58" i="1"/>
  <c r="A57" i="1"/>
  <c r="G27" i="1" s="1"/>
  <c r="A56" i="1"/>
  <c r="A55" i="1"/>
  <c r="B28" i="3"/>
  <c r="E29" i="3"/>
  <c r="I30" i="3"/>
  <c r="I31" i="3"/>
  <c r="L21" i="3"/>
  <c r="B22" i="3"/>
  <c r="L15" i="3"/>
  <c r="E17" i="3"/>
  <c r="L34" i="3"/>
  <c r="L33" i="3"/>
  <c r="L32" i="3"/>
  <c r="L27" i="3"/>
  <c r="L26" i="3"/>
  <c r="L25" i="3"/>
  <c r="L24" i="3"/>
  <c r="L23" i="3"/>
  <c r="L22" i="3"/>
  <c r="L20" i="3"/>
  <c r="L19" i="3"/>
  <c r="L18" i="3"/>
  <c r="L17" i="3"/>
  <c r="I34" i="3"/>
  <c r="I33" i="3"/>
  <c r="I32" i="3"/>
  <c r="I27" i="3"/>
  <c r="I26" i="3"/>
  <c r="I25" i="3"/>
  <c r="I24" i="3"/>
  <c r="I23" i="3"/>
  <c r="I22" i="3"/>
  <c r="I20" i="3"/>
  <c r="I19" i="3"/>
  <c r="I18" i="3"/>
  <c r="I17" i="3"/>
  <c r="E34" i="3"/>
  <c r="E33" i="3"/>
  <c r="E32" i="3"/>
  <c r="E30" i="3"/>
  <c r="E27" i="3"/>
  <c r="E26" i="3"/>
  <c r="E25" i="3"/>
  <c r="E24" i="3"/>
  <c r="E23" i="3"/>
  <c r="E22" i="3"/>
  <c r="E21" i="3"/>
  <c r="E20" i="3"/>
  <c r="E19" i="3"/>
  <c r="E18" i="3"/>
  <c r="B17" i="3"/>
  <c r="B18" i="3"/>
  <c r="B19" i="3"/>
  <c r="B20" i="3"/>
  <c r="B24" i="3"/>
  <c r="B25" i="3"/>
  <c r="B26" i="3"/>
  <c r="B27" i="3"/>
  <c r="B29" i="3"/>
  <c r="B30" i="3"/>
  <c r="B32" i="3"/>
  <c r="B33" i="3"/>
  <c r="B34" i="3"/>
  <c r="M35" i="2"/>
  <c r="M30" i="2"/>
  <c r="B28" i="2"/>
  <c r="B29" i="2" s="1"/>
  <c r="C28" i="2"/>
  <c r="M2" i="2"/>
  <c r="M28" i="2" s="1"/>
  <c r="K28" i="2"/>
  <c r="J28" i="2"/>
  <c r="H28" i="2"/>
  <c r="G28" i="2"/>
  <c r="D28" i="2"/>
  <c r="N28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I47" i="1"/>
  <c r="G28" i="1" l="1"/>
  <c r="I14" i="3"/>
  <c r="L12" i="3"/>
  <c r="G31" i="1"/>
  <c r="G30" i="1"/>
  <c r="G29" i="1"/>
  <c r="L10" i="3"/>
  <c r="B11" i="3"/>
  <c r="E11" i="3"/>
  <c r="E13" i="3"/>
  <c r="L13" i="3"/>
  <c r="E14" i="3"/>
  <c r="L14" i="3"/>
  <c r="B14" i="3"/>
  <c r="I12" i="3"/>
  <c r="L11" i="3"/>
  <c r="I11" i="3"/>
  <c r="B12" i="3"/>
  <c r="E31" i="3"/>
  <c r="I28" i="3"/>
  <c r="L29" i="3"/>
  <c r="L30" i="3"/>
  <c r="L28" i="3"/>
  <c r="E28" i="3"/>
  <c r="L31" i="3"/>
  <c r="I29" i="3"/>
  <c r="B31" i="3"/>
  <c r="B23" i="3"/>
  <c r="B21" i="3"/>
  <c r="I21" i="3"/>
  <c r="E15" i="3"/>
  <c r="I15" i="3"/>
  <c r="B15" i="3"/>
  <c r="K29" i="2"/>
  <c r="H29" i="2"/>
  <c r="C29" i="2"/>
  <c r="J29" i="2"/>
  <c r="G29" i="2"/>
  <c r="I46" i="1" l="1"/>
  <c r="E12" i="3"/>
  <c r="E10" i="3"/>
  <c r="I13" i="3"/>
  <c r="B13" i="3"/>
  <c r="B10" i="3"/>
  <c r="I10" i="3"/>
  <c r="I16" i="3"/>
  <c r="L16" i="3"/>
  <c r="E16" i="3"/>
  <c r="B16" i="3"/>
  <c r="K33" i="2" l="1"/>
  <c r="K34" i="2" s="1"/>
  <c r="G33" i="2" l="1"/>
  <c r="G34" i="2" s="1"/>
  <c r="C33" i="2"/>
  <c r="C34" i="2" s="1"/>
  <c r="H33" i="2"/>
  <c r="H34" i="2" s="1"/>
  <c r="J33" i="2"/>
  <c r="J34" i="2" s="1"/>
  <c r="M34" i="2" l="1"/>
</calcChain>
</file>

<file path=xl/sharedStrings.xml><?xml version="1.0" encoding="utf-8"?>
<sst xmlns="http://schemas.openxmlformats.org/spreadsheetml/2006/main" count="98" uniqueCount="81">
  <si>
    <t>SOUMISSION</t>
  </si>
  <si>
    <t>À L'ATTENTION DE:</t>
  </si>
  <si>
    <t>Total</t>
  </si>
  <si>
    <t>Configurations SSI</t>
  </si>
  <si>
    <t>Rapports central</t>
  </si>
  <si>
    <t>Casernes</t>
  </si>
  <si>
    <t>Véhicules</t>
  </si>
  <si>
    <t>Équipements</t>
  </si>
  <si>
    <t>Équipes</t>
  </si>
  <si>
    <t>Interventions</t>
  </si>
  <si>
    <t>$/unité</t>
  </si>
  <si>
    <t>TOTAL:</t>
  </si>
  <si>
    <t>RÉGULIER</t>
  </si>
  <si>
    <t>SPÉCIAL</t>
  </si>
  <si>
    <t>SPÉCIAL 2</t>
  </si>
  <si>
    <t>MRC de Rouville</t>
  </si>
  <si>
    <t>A/S Claude Levert</t>
  </si>
  <si>
    <t>500, rue Desjardins, bureau 100</t>
  </si>
  <si>
    <t>Marieville (Québec) J3M 1E1</t>
  </si>
  <si>
    <t>Dossiers adresse antérieurs</t>
  </si>
  <si>
    <t>Class</t>
  </si>
  <si>
    <t>Général</t>
  </si>
  <si>
    <t>SSI Ange-Gardien</t>
  </si>
  <si>
    <t>SSI MRC</t>
  </si>
  <si>
    <t>SSI Richelieu</t>
  </si>
  <si>
    <t>SSI Rougemont</t>
  </si>
  <si>
    <t>SSI Saint-Mathias-sur-Richelieu</t>
  </si>
  <si>
    <t>SSI Saint-Paul-d'Abbotsford</t>
  </si>
  <si>
    <t>Fichiers</t>
  </si>
  <si>
    <t>Dossiers adresse</t>
  </si>
  <si>
    <t>Plans intervention</t>
  </si>
  <si>
    <t>Documents du Plan de sécurité civile</t>
  </si>
  <si>
    <t>Sinistres ou simulations</t>
  </si>
  <si>
    <t>Bornes</t>
  </si>
  <si>
    <t>Maintenances de bornes</t>
  </si>
  <si>
    <t>Maintenances d'équipements</t>
  </si>
  <si>
    <t>Employés</t>
  </si>
  <si>
    <t>Utilisateurs</t>
  </si>
  <si>
    <t>Modèles d'horaires</t>
  </si>
  <si>
    <t>Quarts de travail</t>
  </si>
  <si>
    <t>Formations</t>
  </si>
  <si>
    <t>Préventions</t>
  </si>
  <si>
    <t>Types d'anomalie</t>
  </si>
  <si>
    <t>Enquêtes / RCCI</t>
  </si>
  <si>
    <t>Feuilles de temps (autre travail)</t>
  </si>
  <si>
    <t>Rougemont</t>
  </si>
  <si>
    <t>Ange-Gardien</t>
  </si>
  <si>
    <t>Richelieu</t>
  </si>
  <si>
    <t>Saint-Mathias-sur-Richelieu</t>
  </si>
  <si>
    <t>Saint-Paul-d'Abbotsford</t>
  </si>
  <si>
    <t>Population</t>
  </si>
  <si>
    <t>Bases de données</t>
  </si>
  <si>
    <t>Municipalités</t>
  </si>
  <si>
    <t>Liste de prix</t>
  </si>
  <si>
    <t>POP.MIN</t>
  </si>
  <si>
    <t>POP.MAX</t>
  </si>
  <si>
    <t>PRIX</t>
  </si>
  <si>
    <t>Ratio</t>
  </si>
  <si>
    <t>Total:</t>
  </si>
  <si>
    <t>Rabais</t>
  </si>
  <si>
    <t>MRC Rouville (multi-services)</t>
  </si>
  <si>
    <t>Détails du service</t>
  </si>
  <si>
    <t>#2026-05-05-A</t>
  </si>
  <si>
    <t>La présente soumission est présentée pour l'octroi du service d'extraction des données d'une base de données Première Ligne, pour la ou les base(s) de données listées plus bas. Les inclusions à ce service sont:</t>
  </si>
  <si>
    <r>
      <t>Coût réparti</t>
    </r>
    <r>
      <rPr>
        <sz val="11"/>
        <color theme="0"/>
        <rFont val="Aptos Display"/>
        <scheme val="major"/>
      </rPr>
      <t xml:space="preserve"> (+tx)</t>
    </r>
  </si>
  <si>
    <r>
      <t>Coût total</t>
    </r>
    <r>
      <rPr>
        <sz val="11"/>
        <color theme="0"/>
        <rFont val="Aptos Display"/>
        <scheme val="major"/>
      </rPr>
      <t xml:space="preserve"> (+tx)</t>
    </r>
  </si>
  <si>
    <t>Prix rég.</t>
  </si>
  <si>
    <t>A/S Sylvain Pedneault</t>
  </si>
  <si>
    <t>Gestion Technologies</t>
  </si>
  <si>
    <t>PAR:</t>
  </si>
  <si>
    <t>sylvain@securitepublique.ca</t>
  </si>
  <si>
    <t>(450) 502-9911</t>
  </si>
  <si>
    <t>INCLUS ✔️</t>
  </si>
  <si>
    <r>
      <rPr>
        <b/>
        <sz val="11"/>
        <color theme="1"/>
        <rFont val="Aptos Narrow"/>
        <scheme val="minor"/>
      </rPr>
      <t>• Processus automatisés</t>
    </r>
    <r>
      <rPr>
        <sz val="11"/>
        <color theme="1"/>
        <rFont val="Aptos Narrow"/>
        <scheme val="minor"/>
      </rPr>
      <t xml:space="preserve"> (</t>
    </r>
    <r>
      <rPr>
        <u/>
        <sz val="11"/>
        <color rgb="FFC00000"/>
        <rFont val="Aptos Narrow (Body)"/>
      </rPr>
      <t>non-IA</t>
    </r>
    <r>
      <rPr>
        <sz val="11"/>
        <color theme="1"/>
        <rFont val="Aptos Narrow"/>
        <scheme val="minor"/>
      </rPr>
      <t>): analyse, assemblage, nettoyage, adaptation, uniformisation, validation</t>
    </r>
  </si>
  <si>
    <r>
      <rPr>
        <b/>
        <sz val="11"/>
        <color theme="1"/>
        <rFont val="Aptos Narrow"/>
        <scheme val="minor"/>
      </rPr>
      <t>• Deux (2) exports</t>
    </r>
    <r>
      <rPr>
        <sz val="11"/>
        <color theme="1"/>
        <rFont val="Aptos Narrow"/>
        <scheme val="minor"/>
      </rPr>
      <t>: 1=extraction de sûreté complète imédiate, 2=migration finale subséquente</t>
    </r>
  </si>
  <si>
    <r>
      <rPr>
        <b/>
        <sz val="11"/>
        <color theme="1"/>
        <rFont val="Aptos Narrow"/>
        <scheme val="minor"/>
      </rPr>
      <t>• Lot de fichiers XML</t>
    </r>
    <r>
      <rPr>
        <sz val="11"/>
        <color theme="1"/>
        <rFont val="Aptos Narrow"/>
        <scheme val="minor"/>
      </rPr>
      <t xml:space="preserve"> avec les données complètes structurées et normalisées</t>
    </r>
  </si>
  <si>
    <r>
      <rPr>
        <b/>
        <sz val="11"/>
        <color theme="1"/>
        <rFont val="Aptos Narrow"/>
        <scheme val="minor"/>
      </rPr>
      <t>• Fichier XSD</t>
    </r>
    <r>
      <rPr>
        <sz val="11"/>
        <color theme="1"/>
        <rFont val="Aptos Narrow"/>
        <scheme val="minor"/>
      </rPr>
      <t xml:space="preserve"> présentant le schéma de données, pour valider les fichiers XML</t>
    </r>
  </si>
  <si>
    <r>
      <rPr>
        <b/>
        <sz val="11"/>
        <color theme="1"/>
        <rFont val="Aptos Narrow"/>
        <scheme val="minor"/>
      </rPr>
      <t>• Outil de consultation/recherche locale</t>
    </r>
    <r>
      <rPr>
        <sz val="11"/>
        <color theme="1"/>
        <rFont val="Aptos Narrow"/>
        <scheme val="minor"/>
      </rPr>
      <t>, pour navigation assistée dans les données (</t>
    </r>
    <r>
      <rPr>
        <b/>
        <sz val="11"/>
        <color rgb="FF009945"/>
        <rFont val="Aptos Narrow (Body)"/>
      </rPr>
      <t>gratuit à vie</t>
    </r>
    <r>
      <rPr>
        <sz val="11"/>
        <color theme="1"/>
        <rFont val="Aptos Narrow"/>
        <scheme val="minor"/>
      </rPr>
      <t>)</t>
    </r>
  </si>
  <si>
    <r>
      <rPr>
        <b/>
        <sz val="11"/>
        <color theme="1"/>
        <rFont val="Aptos Narrow"/>
        <scheme val="minor"/>
      </rPr>
      <t>• Documentation</t>
    </r>
    <r>
      <rPr>
        <sz val="11"/>
        <color theme="1"/>
        <rFont val="Aptos Narrow"/>
        <scheme val="minor"/>
      </rPr>
      <t xml:space="preserve"> de la structure de l'export</t>
    </r>
  </si>
  <si>
    <r>
      <rPr>
        <b/>
        <sz val="11"/>
        <rFont val="Aptos Narrow"/>
        <scheme val="minor"/>
      </rPr>
      <t>• Option multi-SSI</t>
    </r>
    <r>
      <rPr>
        <sz val="11"/>
        <rFont val="Aptos Narrow"/>
        <scheme val="minor"/>
      </rPr>
      <t>: données municipales dé-groupées avec données communes répétées</t>
    </r>
  </si>
  <si>
    <r>
      <rPr>
        <b/>
        <sz val="12"/>
        <rFont val="Aptos Narrow"/>
        <scheme val="minor"/>
      </rPr>
      <t>Pour confirmer la commande</t>
    </r>
    <r>
      <rPr>
        <sz val="12"/>
        <rFont val="Aptos Narrow"/>
        <scheme val="minor"/>
      </rPr>
      <t xml:space="preserve"> : SVP émettre un bon de commande au nom de:  Sylvain Pedneault (Gestion Technologies). Une facture sera présentée avec les données extraites, et sera payable 30 jours par chèque au nom de Sylvain Pedneault.
</t>
    </r>
    <r>
      <rPr>
        <b/>
        <sz val="12"/>
        <rFont val="Aptos Narrow"/>
        <scheme val="minor"/>
      </rPr>
      <t>Multi-services</t>
    </r>
    <r>
      <rPr>
        <sz val="12"/>
        <rFont val="Aptos Narrow"/>
        <scheme val="minor"/>
      </rPr>
      <t xml:space="preserve">: si vous souhaitez que les municipalités ci-listées soient facturées individuellement pour leur coût réparti, veuillez nous faire parvenir un bon de commande par municipalité.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</si>
</sst>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&quot;$&quot;* #,##0_);_(&quot;$&quot;* \(#,##0\);_(&quot;$&quot;* &quot;-&quot;??_);_(@_)"/>
    <numFmt numFmtId="167" formatCode="0.0%"/>
    <numFmt numFmtId="168" formatCode="&quot;$&quot;#,##0"/>
  </numFmts>
  <fonts count="3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sz val="16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rgb="FF0070C0"/>
      <name val="Aptos Narrow"/>
      <scheme val="minor"/>
    </font>
    <font>
      <b/>
      <sz val="11"/>
      <color rgb="FF9C0006"/>
      <name val="Aptos Narrow"/>
      <scheme val="minor"/>
    </font>
    <font>
      <b/>
      <sz val="11"/>
      <color rgb="FF00B050"/>
      <name val="Aptos Narrow"/>
      <scheme val="minor"/>
    </font>
    <font>
      <sz val="12"/>
      <color rgb="FF000000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E97132"/>
      <name val="Aptos Narrow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sz val="11"/>
      <name val="Aptos Narrow"/>
      <scheme val="minor"/>
    </font>
    <font>
      <sz val="11"/>
      <name val="Aptos Display"/>
      <scheme val="major"/>
    </font>
    <font>
      <sz val="11"/>
      <color theme="1"/>
      <name val="Aptos Display"/>
      <scheme val="major"/>
    </font>
    <font>
      <b/>
      <sz val="11"/>
      <color theme="0"/>
      <name val="Aptos Display"/>
      <scheme val="major"/>
    </font>
    <font>
      <b/>
      <sz val="12"/>
      <color rgb="FFFFFF00"/>
      <name val="Aptos Narrow"/>
      <scheme val="minor"/>
    </font>
    <font>
      <b/>
      <sz val="11"/>
      <color rgb="FFFFFF00"/>
      <name val="Aptos Display"/>
      <scheme val="major"/>
    </font>
    <font>
      <b/>
      <sz val="11"/>
      <name val="Aptos Narrow"/>
      <scheme val="minor"/>
    </font>
    <font>
      <b/>
      <sz val="12"/>
      <color rgb="FFC00000"/>
      <name val="Aptos Narrow"/>
      <scheme val="minor"/>
    </font>
    <font>
      <sz val="12"/>
      <color theme="1"/>
      <name val="Aptos Display"/>
      <scheme val="major"/>
    </font>
    <font>
      <sz val="11"/>
      <color theme="0"/>
      <name val="Aptos Display"/>
      <scheme val="major"/>
    </font>
    <font>
      <u/>
      <sz val="11"/>
      <color rgb="FFC00000"/>
      <name val="Aptos Narrow (Body)"/>
    </font>
    <font>
      <b/>
      <sz val="11"/>
      <color rgb="FF009945"/>
      <name val="Aptos Narrow (Body)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9945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2" fillId="0" borderId="0" xfId="0" applyFont="1"/>
    <xf numFmtId="0" fontId="6" fillId="0" borderId="0" xfId="0" applyFont="1"/>
    <xf numFmtId="164" fontId="6" fillId="0" borderId="0" xfId="2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8" fillId="0" borderId="0" xfId="2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14" fontId="4" fillId="0" borderId="0" xfId="0" applyNumberFormat="1" applyFont="1"/>
    <xf numFmtId="164" fontId="9" fillId="0" borderId="1" xfId="0" applyNumberFormat="1" applyFont="1" applyBorder="1"/>
    <xf numFmtId="164" fontId="8" fillId="0" borderId="2" xfId="2" applyNumberFormat="1" applyFont="1" applyFill="1" applyBorder="1" applyAlignment="1">
      <alignment horizontal="right"/>
    </xf>
    <xf numFmtId="0" fontId="10" fillId="0" borderId="0" xfId="0" applyFont="1"/>
    <xf numFmtId="165" fontId="10" fillId="0" borderId="0" xfId="0" applyNumberFormat="1" applyFont="1"/>
    <xf numFmtId="3" fontId="0" fillId="0" borderId="0" xfId="0" applyNumberFormat="1"/>
    <xf numFmtId="0" fontId="10" fillId="0" borderId="1" xfId="0" applyFont="1" applyBorder="1"/>
    <xf numFmtId="165" fontId="10" fillId="0" borderId="1" xfId="0" applyNumberFormat="1" applyFont="1" applyBorder="1"/>
    <xf numFmtId="3" fontId="10" fillId="0" borderId="0" xfId="0" applyNumberFormat="1" applyFont="1"/>
    <xf numFmtId="9" fontId="10" fillId="0" borderId="0" xfId="3" applyFont="1"/>
    <xf numFmtId="44" fontId="10" fillId="0" borderId="0" xfId="2" applyFont="1"/>
    <xf numFmtId="44" fontId="0" fillId="0" borderId="0" xfId="2" applyFont="1"/>
    <xf numFmtId="164" fontId="8" fillId="0" borderId="0" xfId="2" applyNumberFormat="1" applyFont="1" applyFill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14" fillId="0" borderId="0" xfId="0" applyFont="1"/>
    <xf numFmtId="44" fontId="14" fillId="0" borderId="0" xfId="0" applyNumberFormat="1" applyFont="1"/>
    <xf numFmtId="0" fontId="15" fillId="4" borderId="0" xfId="0" applyFont="1" applyFill="1" applyAlignment="1">
      <alignment horizontal="right" wrapText="1"/>
    </xf>
    <xf numFmtId="0" fontId="15" fillId="4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64" fontId="16" fillId="0" borderId="1" xfId="0" applyNumberFormat="1" applyFont="1" applyBorder="1" applyAlignment="1">
      <alignment horizontal="right"/>
    </xf>
    <xf numFmtId="164" fontId="17" fillId="0" borderId="1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3" fontId="14" fillId="0" borderId="0" xfId="0" applyNumberFormat="1" applyFont="1"/>
    <xf numFmtId="164" fontId="18" fillId="0" borderId="1" xfId="0" applyNumberFormat="1" applyFont="1" applyBorder="1"/>
    <xf numFmtId="164" fontId="14" fillId="0" borderId="0" xfId="0" applyNumberFormat="1" applyFont="1"/>
    <xf numFmtId="0" fontId="21" fillId="0" borderId="0" xfId="0" applyFont="1"/>
    <xf numFmtId="0" fontId="2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/>
    </xf>
    <xf numFmtId="0" fontId="0" fillId="0" borderId="0" xfId="2" applyNumberFormat="1" applyFont="1" applyAlignment="1">
      <alignment horizontal="center"/>
    </xf>
    <xf numFmtId="165" fontId="6" fillId="0" borderId="0" xfId="1" applyNumberFormat="1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167" fontId="26" fillId="0" borderId="0" xfId="3" applyNumberFormat="1" applyFont="1" applyFill="1" applyBorder="1"/>
    <xf numFmtId="9" fontId="25" fillId="0" borderId="0" xfId="0" applyNumberFormat="1" applyFont="1"/>
    <xf numFmtId="168" fontId="23" fillId="0" borderId="0" xfId="2" applyNumberFormat="1" applyFont="1" applyFill="1" applyBorder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166" fontId="28" fillId="0" borderId="0" xfId="2" applyNumberFormat="1" applyFont="1"/>
    <xf numFmtId="168" fontId="8" fillId="0" borderId="0" xfId="2" applyNumberFormat="1" applyFont="1" applyFill="1" applyBorder="1" applyAlignment="1">
      <alignment horizontal="right"/>
    </xf>
    <xf numFmtId="167" fontId="0" fillId="0" borderId="0" xfId="3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 wrapText="1"/>
    </xf>
    <xf numFmtId="168" fontId="6" fillId="0" borderId="0" xfId="2" applyNumberFormat="1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168" fontId="8" fillId="0" borderId="0" xfId="2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8" fontId="4" fillId="0" borderId="0" xfId="0" applyNumberFormat="1" applyFont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right" vertical="top"/>
    </xf>
    <xf numFmtId="0" fontId="24" fillId="6" borderId="0" xfId="0" applyFont="1" applyFill="1"/>
    <xf numFmtId="0" fontId="29" fillId="6" borderId="0" xfId="0" applyFont="1" applyFill="1"/>
    <xf numFmtId="0" fontId="24" fillId="6" borderId="0" xfId="0" applyFont="1" applyFill="1" applyAlignment="1">
      <alignment horizontal="center"/>
    </xf>
    <xf numFmtId="0" fontId="24" fillId="6" borderId="0" xfId="0" applyFont="1" applyFill="1" applyAlignment="1">
      <alignment horizontal="center" wrapText="1"/>
    </xf>
    <xf numFmtId="0" fontId="24" fillId="6" borderId="0" xfId="0" applyFont="1" applyFill="1" applyAlignment="1">
      <alignment horizontal="right"/>
    </xf>
    <xf numFmtId="0" fontId="24" fillId="2" borderId="0" xfId="0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wrapText="1"/>
    </xf>
    <xf numFmtId="0" fontId="24" fillId="2" borderId="0" xfId="0" applyFont="1" applyFill="1" applyAlignment="1">
      <alignment horizontal="right"/>
    </xf>
    <xf numFmtId="0" fontId="4" fillId="0" borderId="3" xfId="0" applyFont="1" applyBorder="1"/>
    <xf numFmtId="0" fontId="6" fillId="0" borderId="0" xfId="0" applyFont="1" applyAlignment="1">
      <alignment horizontal="right"/>
    </xf>
    <xf numFmtId="0" fontId="2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0" fontId="4" fillId="0" borderId="0" xfId="0" applyFont="1" applyAlignment="1">
      <alignment textRotation="90"/>
    </xf>
    <xf numFmtId="0" fontId="5" fillId="0" borderId="0" xfId="0" applyFont="1" applyAlignment="1">
      <alignment horizontal="right" textRotation="90"/>
    </xf>
    <xf numFmtId="168" fontId="11" fillId="0" borderId="0" xfId="2" applyNumberFormat="1" applyFont="1" applyAlignment="1">
      <alignment horizontal="right"/>
    </xf>
    <xf numFmtId="168" fontId="5" fillId="5" borderId="0" xfId="2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6"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</dxfs>
  <tableStyles count="0" defaultTableStyle="TableStyleMedium2" defaultPivotStyle="PivotStyleLight16"/>
  <colors>
    <mruColors>
      <color rgb="FF009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7467</xdr:colOff>
      <xdr:row>0</xdr:row>
      <xdr:rowOff>7466</xdr:rowOff>
    </xdr:from>
    <xdr:to>
      <xdr:col>3</xdr:col>
      <xdr:colOff>440761</xdr:colOff>
      <xdr:row>1</xdr:row>
      <xdr:rowOff>665944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E006752-DC5E-D944-8519-9A7526F9C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1763" t="6158" r="18692"/>
        <a:stretch>
          <a:fillRect/>
        </a:stretch>
      </xdr:blipFill>
      <xdr:spPr>
        <a:xfrm>
          <a:off x="7467" y="7466"/>
          <a:ext cx="3033059" cy="1024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BCEF-0F7F-5346-982E-C6834D7A1CED}">
  <dimension ref="A1:V58"/>
  <sheetViews>
    <sheetView showGridLines="0" tabSelected="1" view="pageLayout" topLeftCell="A21" zoomScale="170" zoomScaleNormal="100" zoomScalePageLayoutView="170" workbookViewId="0">
      <selection activeCell="B35" sqref="B35"/>
    </sheetView>
  </sheetViews>
  <sheetFormatPr baseColWidth="10" defaultRowHeight="16" x14ac:dyDescent="0.2"/>
  <cols>
    <col min="1" max="1" width="12.33203125" style="2" customWidth="1"/>
    <col min="2" max="3" width="10.83203125" style="2"/>
    <col min="4" max="4" width="9.6640625" style="2" customWidth="1"/>
    <col min="5" max="6" width="9.1640625" style="2" customWidth="1"/>
    <col min="7" max="7" width="10.6640625" style="2" customWidth="1"/>
    <col min="8" max="8" width="9.1640625" style="2" customWidth="1"/>
    <col min="9" max="9" width="14" style="2" customWidth="1"/>
    <col min="10" max="10" width="5.6640625" style="2" customWidth="1"/>
    <col min="11" max="11" width="7.5" style="2" customWidth="1"/>
    <col min="12" max="22" width="6.6640625" style="2" customWidth="1"/>
    <col min="23" max="16384" width="10.83203125" style="2"/>
  </cols>
  <sheetData>
    <row r="1" spans="1:16" ht="29" x14ac:dyDescent="0.35">
      <c r="I1" s="1" t="s">
        <v>0</v>
      </c>
      <c r="K1" s="87"/>
      <c r="L1" s="86"/>
      <c r="M1" s="86"/>
      <c r="N1" s="86"/>
      <c r="O1" s="86"/>
      <c r="P1" s="86"/>
    </row>
    <row r="2" spans="1:16" ht="59" customHeight="1" x14ac:dyDescent="0.2">
      <c r="I2" s="72" t="s">
        <v>62</v>
      </c>
      <c r="K2" s="87"/>
      <c r="L2" s="86"/>
      <c r="M2" s="86"/>
      <c r="N2" s="86"/>
      <c r="O2" s="86"/>
      <c r="P2" s="86"/>
    </row>
    <row r="3" spans="1:16" ht="9" customHeight="1" x14ac:dyDescent="0.2">
      <c r="I3" s="5"/>
      <c r="K3" s="87"/>
      <c r="L3" s="86"/>
      <c r="M3" s="86"/>
      <c r="N3" s="86"/>
      <c r="O3" s="86"/>
      <c r="P3" s="86"/>
    </row>
    <row r="4" spans="1:16" ht="15" customHeight="1" x14ac:dyDescent="0.2">
      <c r="A4" s="57" t="s">
        <v>69</v>
      </c>
      <c r="B4" s="2" t="s">
        <v>67</v>
      </c>
      <c r="D4" s="82"/>
      <c r="F4" s="57" t="s">
        <v>1</v>
      </c>
      <c r="G4" s="2" t="s">
        <v>16</v>
      </c>
      <c r="H4" s="8"/>
      <c r="I4" s="13"/>
      <c r="K4" s="87"/>
      <c r="L4" s="86"/>
      <c r="M4" s="86"/>
      <c r="N4" s="86"/>
      <c r="O4" s="86"/>
      <c r="P4" s="86"/>
    </row>
    <row r="5" spans="1:16" ht="15" customHeight="1" x14ac:dyDescent="0.2">
      <c r="B5" s="2" t="s">
        <v>68</v>
      </c>
      <c r="D5" s="82"/>
      <c r="G5" s="2" t="s">
        <v>15</v>
      </c>
      <c r="K5" s="87"/>
      <c r="L5" s="86"/>
      <c r="M5" s="86"/>
      <c r="N5" s="86"/>
      <c r="O5" s="86"/>
      <c r="P5" s="86"/>
    </row>
    <row r="6" spans="1:16" ht="15" customHeight="1" x14ac:dyDescent="0.2">
      <c r="B6" s="2" t="s">
        <v>70</v>
      </c>
      <c r="D6" s="82"/>
      <c r="G6" s="2" t="s">
        <v>17</v>
      </c>
      <c r="K6" s="87"/>
      <c r="L6" s="86"/>
      <c r="M6" s="86"/>
      <c r="N6" s="86"/>
      <c r="O6" s="86"/>
      <c r="P6" s="86"/>
    </row>
    <row r="7" spans="1:16" ht="15" customHeight="1" x14ac:dyDescent="0.2">
      <c r="B7" s="2" t="s">
        <v>71</v>
      </c>
      <c r="D7" s="82"/>
      <c r="G7" s="2" t="s">
        <v>18</v>
      </c>
      <c r="K7" s="87"/>
      <c r="L7" s="86"/>
      <c r="M7" s="86"/>
      <c r="N7" s="86"/>
      <c r="O7" s="86"/>
      <c r="P7" s="86"/>
    </row>
    <row r="8" spans="1:16" ht="10" customHeight="1" x14ac:dyDescent="0.2">
      <c r="K8" s="87"/>
      <c r="L8" s="86"/>
      <c r="M8" s="86"/>
      <c r="N8" s="86"/>
      <c r="O8" s="86"/>
      <c r="P8" s="86"/>
    </row>
    <row r="9" spans="1:16" x14ac:dyDescent="0.2">
      <c r="J9" s="26"/>
      <c r="K9" s="87"/>
      <c r="L9" s="86"/>
      <c r="M9" s="86"/>
      <c r="N9" s="86"/>
      <c r="O9" s="86"/>
      <c r="P9" s="86"/>
    </row>
    <row r="10" spans="1:16" s="6" customFormat="1" ht="15" customHeight="1" x14ac:dyDescent="0.2">
      <c r="A10" s="3" t="s">
        <v>61</v>
      </c>
      <c r="B10" s="3"/>
      <c r="C10" s="3"/>
      <c r="D10" s="47"/>
      <c r="E10" s="47"/>
      <c r="F10" s="3"/>
      <c r="G10" s="63"/>
      <c r="H10" s="47"/>
      <c r="I10" s="4"/>
      <c r="K10" s="50"/>
      <c r="L10" s="51"/>
      <c r="M10" s="51"/>
      <c r="N10" s="51"/>
      <c r="O10" s="51"/>
      <c r="P10" s="51"/>
    </row>
    <row r="11" spans="1:16" x14ac:dyDescent="0.2">
      <c r="A11" s="84" t="s">
        <v>63</v>
      </c>
      <c r="B11" s="84"/>
      <c r="C11" s="84"/>
      <c r="D11" s="84"/>
      <c r="E11" s="84"/>
      <c r="F11" s="84"/>
      <c r="G11" s="84"/>
      <c r="H11" s="84"/>
      <c r="I11" s="84"/>
    </row>
    <row r="12" spans="1:16" ht="20" customHeight="1" x14ac:dyDescent="0.2">
      <c r="A12" s="84"/>
      <c r="B12" s="84"/>
      <c r="C12" s="84"/>
      <c r="D12" s="84"/>
      <c r="E12" s="84"/>
      <c r="F12" s="84"/>
      <c r="G12" s="84"/>
      <c r="H12" s="84"/>
      <c r="I12" s="84"/>
    </row>
    <row r="14" spans="1:16" ht="15" customHeight="1" x14ac:dyDescent="0.2">
      <c r="A14" s="6" t="s">
        <v>73</v>
      </c>
      <c r="C14" s="6"/>
      <c r="D14" s="6"/>
      <c r="E14" s="6"/>
      <c r="F14" s="6"/>
      <c r="G14" s="49"/>
      <c r="H14" s="60"/>
      <c r="I14" s="11" t="s">
        <v>72</v>
      </c>
      <c r="K14" s="51"/>
      <c r="L14" s="51"/>
      <c r="M14" s="51"/>
      <c r="N14" s="51"/>
      <c r="O14" s="51"/>
      <c r="P14" s="51"/>
    </row>
    <row r="15" spans="1:16" ht="15" customHeight="1" x14ac:dyDescent="0.2">
      <c r="A15" s="6" t="s">
        <v>74</v>
      </c>
      <c r="C15" s="6"/>
      <c r="D15" s="6"/>
      <c r="E15" s="6"/>
      <c r="F15" s="6"/>
      <c r="G15" s="49"/>
      <c r="H15" s="60"/>
      <c r="I15" s="11" t="s">
        <v>72</v>
      </c>
      <c r="K15" s="51"/>
      <c r="L15" s="51"/>
      <c r="M15" s="51"/>
      <c r="N15" s="51"/>
      <c r="O15" s="51"/>
      <c r="P15" s="51"/>
    </row>
    <row r="16" spans="1:16" ht="15" customHeight="1" x14ac:dyDescent="0.2">
      <c r="A16" s="6" t="s">
        <v>75</v>
      </c>
      <c r="B16" s="10"/>
      <c r="C16" s="6"/>
      <c r="D16" s="6"/>
      <c r="E16" s="6"/>
      <c r="F16" s="6"/>
      <c r="G16" s="49"/>
      <c r="H16" s="60"/>
      <c r="I16" s="11" t="s">
        <v>72</v>
      </c>
      <c r="K16" s="51"/>
      <c r="L16" s="51"/>
      <c r="M16" s="51"/>
      <c r="N16" s="51"/>
      <c r="O16" s="51"/>
      <c r="P16" s="51"/>
    </row>
    <row r="17" spans="1:16" ht="15" customHeight="1" x14ac:dyDescent="0.2">
      <c r="A17" s="6" t="s">
        <v>76</v>
      </c>
      <c r="G17" s="69"/>
      <c r="H17" s="70"/>
      <c r="I17" s="11" t="s">
        <v>72</v>
      </c>
      <c r="K17" s="51"/>
      <c r="L17" s="51"/>
      <c r="M17" s="51"/>
      <c r="N17" s="51"/>
      <c r="O17" s="51"/>
      <c r="P17" s="51"/>
    </row>
    <row r="18" spans="1:16" ht="15" customHeight="1" x14ac:dyDescent="0.2">
      <c r="A18" s="6" t="s">
        <v>77</v>
      </c>
      <c r="B18" s="6"/>
      <c r="C18" s="6"/>
      <c r="D18" s="6"/>
      <c r="E18" s="6"/>
      <c r="F18" s="6"/>
      <c r="G18" s="6"/>
      <c r="H18" s="6"/>
      <c r="I18" s="11" t="s">
        <v>72</v>
      </c>
      <c r="K18" s="51"/>
      <c r="L18" s="51"/>
      <c r="M18" s="51"/>
      <c r="N18" s="51"/>
      <c r="O18" s="51"/>
      <c r="P18" s="51"/>
    </row>
    <row r="19" spans="1:16" ht="15" customHeight="1" x14ac:dyDescent="0.2">
      <c r="A19" s="6" t="s">
        <v>78</v>
      </c>
      <c r="B19" s="6"/>
      <c r="C19" s="6"/>
      <c r="D19" s="6"/>
      <c r="E19" s="6"/>
      <c r="F19" s="6"/>
      <c r="G19" s="6"/>
      <c r="H19" s="6"/>
      <c r="I19" s="11" t="s">
        <v>72</v>
      </c>
      <c r="K19" s="51"/>
      <c r="L19" s="51"/>
      <c r="M19" s="51"/>
      <c r="N19" s="51"/>
      <c r="O19" s="51"/>
      <c r="P19" s="51"/>
    </row>
    <row r="20" spans="1:16" ht="15" customHeight="1" x14ac:dyDescent="0.2">
      <c r="A20" s="45" t="s">
        <v>79</v>
      </c>
      <c r="B20" s="45"/>
      <c r="C20" s="45"/>
      <c r="D20" s="45"/>
      <c r="E20" s="45"/>
      <c r="F20" s="45"/>
      <c r="G20" s="45"/>
      <c r="H20" s="45"/>
      <c r="I20" s="11" t="s">
        <v>72</v>
      </c>
      <c r="K20" s="51"/>
      <c r="L20" s="51"/>
      <c r="M20" s="51"/>
      <c r="N20" s="51"/>
      <c r="O20" s="51"/>
      <c r="P20" s="51"/>
    </row>
    <row r="21" spans="1:16" ht="25" customHeight="1" x14ac:dyDescent="0.2">
      <c r="K21" s="51"/>
      <c r="L21" s="51"/>
      <c r="M21" s="51"/>
      <c r="N21" s="51"/>
      <c r="O21" s="51"/>
      <c r="P21" s="51"/>
    </row>
    <row r="22" spans="1:16" ht="15" customHeight="1" x14ac:dyDescent="0.2">
      <c r="K22" s="51"/>
      <c r="L22" s="51"/>
      <c r="M22" s="51"/>
      <c r="N22" s="51"/>
      <c r="O22" s="51"/>
      <c r="P22" s="51"/>
    </row>
    <row r="23" spans="1:16" ht="15" customHeight="1" x14ac:dyDescent="0.2">
      <c r="A23" s="78" t="s">
        <v>51</v>
      </c>
      <c r="B23" s="78"/>
      <c r="C23" s="78"/>
      <c r="D23" s="79"/>
      <c r="E23" s="78" t="s">
        <v>50</v>
      </c>
      <c r="F23" s="78"/>
      <c r="G23" s="80" t="s">
        <v>66</v>
      </c>
      <c r="H23" s="79" t="s">
        <v>59</v>
      </c>
      <c r="I23" s="81" t="s">
        <v>65</v>
      </c>
      <c r="K23" s="51"/>
      <c r="L23" s="51"/>
      <c r="M23" s="51"/>
      <c r="N23" s="51"/>
      <c r="O23" s="51"/>
      <c r="P23" s="51"/>
    </row>
    <row r="24" spans="1:16" ht="15" customHeight="1" x14ac:dyDescent="0.2">
      <c r="A24" s="65" t="s">
        <v>60</v>
      </c>
      <c r="B24" s="10"/>
      <c r="C24" s="6"/>
      <c r="D24" s="83" t="s">
        <v>58</v>
      </c>
      <c r="E24" s="66">
        <f>SUM(E27:E31)</f>
        <v>19457</v>
      </c>
      <c r="F24" s="8" t="s">
        <v>58</v>
      </c>
      <c r="G24" s="67">
        <f>SUM(G27:G31)</f>
        <v>17000</v>
      </c>
      <c r="H24" s="68">
        <v>0.1</v>
      </c>
      <c r="I24" s="89">
        <f>G24-(G24*H24)</f>
        <v>15300</v>
      </c>
      <c r="K24" s="51"/>
      <c r="L24" s="51"/>
      <c r="M24" s="51"/>
      <c r="N24" s="51"/>
      <c r="O24" s="51"/>
      <c r="P24" s="51"/>
    </row>
    <row r="25" spans="1:16" ht="15" customHeight="1" x14ac:dyDescent="0.2">
      <c r="A25" s="46"/>
      <c r="B25" s="10"/>
      <c r="H25" s="62"/>
      <c r="K25" s="51"/>
      <c r="L25" s="51"/>
      <c r="M25" s="51"/>
      <c r="N25" s="51"/>
      <c r="O25" s="51"/>
      <c r="P25" s="51"/>
    </row>
    <row r="26" spans="1:16" ht="15" customHeight="1" x14ac:dyDescent="0.2">
      <c r="A26" s="46"/>
      <c r="B26" s="73" t="s">
        <v>52</v>
      </c>
      <c r="C26" s="74"/>
      <c r="D26" s="73"/>
      <c r="E26" s="75" t="s">
        <v>50</v>
      </c>
      <c r="F26" s="75" t="s">
        <v>57</v>
      </c>
      <c r="G26" s="76" t="s">
        <v>66</v>
      </c>
      <c r="H26" s="73"/>
      <c r="I26" s="77" t="s">
        <v>64</v>
      </c>
      <c r="K26" s="51"/>
      <c r="L26" s="51"/>
      <c r="M26" s="51"/>
      <c r="N26" s="51"/>
      <c r="O26" s="51"/>
      <c r="P26" s="51"/>
    </row>
    <row r="27" spans="1:16" ht="15" customHeight="1" x14ac:dyDescent="0.2">
      <c r="A27" s="46"/>
      <c r="B27" s="10" t="s">
        <v>46</v>
      </c>
      <c r="D27" s="6"/>
      <c r="E27" s="48">
        <v>3068</v>
      </c>
      <c r="F27" s="61">
        <f>E27/E$24</f>
        <v>0.15768104024258622</v>
      </c>
      <c r="G27" s="64">
        <f>IF(E27="","",_xlfn.XLOOKUP(E27,$A$54:$A$69,$C$54:$C$69,,-1))</f>
        <v>3000</v>
      </c>
      <c r="I27" s="88">
        <f>ROUND(I$24*F27,0)</f>
        <v>2413</v>
      </c>
      <c r="K27" s="51"/>
      <c r="L27" s="51"/>
      <c r="M27" s="51"/>
      <c r="N27" s="51"/>
      <c r="O27" s="51"/>
      <c r="P27" s="51"/>
    </row>
    <row r="28" spans="1:16" ht="15" customHeight="1" x14ac:dyDescent="0.2">
      <c r="A28" s="46"/>
      <c r="B28" s="10" t="s">
        <v>47</v>
      </c>
      <c r="D28" s="6"/>
      <c r="E28" s="48">
        <v>6070</v>
      </c>
      <c r="F28" s="61">
        <f>E28/E$24</f>
        <v>0.31196998509533846</v>
      </c>
      <c r="G28" s="64">
        <f>IF(E28="","",_xlfn.XLOOKUP(E28,$A$54:$A$69,$C$54:$C$69,,-1))</f>
        <v>4000</v>
      </c>
      <c r="I28" s="88">
        <f t="shared" ref="I28:I31" si="0">ROUND(I$24*F28,0)</f>
        <v>4773</v>
      </c>
      <c r="K28" s="51"/>
      <c r="L28" s="51"/>
      <c r="M28" s="51"/>
      <c r="N28" s="51"/>
      <c r="O28" s="51"/>
      <c r="P28" s="51"/>
    </row>
    <row r="29" spans="1:16" ht="15" customHeight="1" x14ac:dyDescent="0.2">
      <c r="A29" s="46"/>
      <c r="B29" s="10" t="s">
        <v>45</v>
      </c>
      <c r="D29" s="6"/>
      <c r="E29" s="48">
        <v>2821</v>
      </c>
      <c r="F29" s="61">
        <f>E29/E$24</f>
        <v>0.14498638022305596</v>
      </c>
      <c r="G29" s="64">
        <f>IF(E29="","",_xlfn.XLOOKUP(E29,$A$54:$A$69,$C$54:$C$69,,-1))</f>
        <v>3000</v>
      </c>
      <c r="I29" s="88">
        <f t="shared" si="0"/>
        <v>2218</v>
      </c>
      <c r="K29" s="51"/>
      <c r="L29" s="51"/>
      <c r="M29" s="51"/>
      <c r="N29" s="51"/>
      <c r="O29" s="51"/>
      <c r="P29" s="51"/>
    </row>
    <row r="30" spans="1:16" ht="15" customHeight="1" x14ac:dyDescent="0.2">
      <c r="A30" s="46"/>
      <c r="B30" s="10" t="s">
        <v>48</v>
      </c>
      <c r="D30" s="6"/>
      <c r="E30" s="48">
        <v>4626</v>
      </c>
      <c r="F30" s="61">
        <f>E30/E$24</f>
        <v>0.23775504959654623</v>
      </c>
      <c r="G30" s="64">
        <f>IF(E30="","",_xlfn.XLOOKUP(E30,$A$54:$A$69,$C$54:$C$69,,-1))</f>
        <v>4000</v>
      </c>
      <c r="I30" s="88">
        <f t="shared" si="0"/>
        <v>3638</v>
      </c>
      <c r="K30" s="51"/>
      <c r="L30" s="51"/>
      <c r="M30" s="51"/>
      <c r="N30" s="51"/>
      <c r="O30" s="51"/>
      <c r="P30" s="51"/>
    </row>
    <row r="31" spans="1:16" ht="15" customHeight="1" x14ac:dyDescent="0.2">
      <c r="A31" s="46"/>
      <c r="B31" s="10" t="s">
        <v>49</v>
      </c>
      <c r="D31" s="6"/>
      <c r="E31" s="48">
        <v>2872</v>
      </c>
      <c r="F31" s="61">
        <f>E31/E$24</f>
        <v>0.14760754484247315</v>
      </c>
      <c r="G31" s="64">
        <f>IF(E31="","",_xlfn.XLOOKUP(E31,$A$54:$A$69,$C$54:$C$69,,-1))</f>
        <v>3000</v>
      </c>
      <c r="I31" s="88">
        <f t="shared" si="0"/>
        <v>2258</v>
      </c>
      <c r="K31" s="51"/>
      <c r="L31" s="51"/>
      <c r="M31" s="51"/>
      <c r="N31" s="51"/>
      <c r="O31" s="51"/>
      <c r="P31" s="51"/>
    </row>
    <row r="32" spans="1:16" ht="15" customHeight="1" x14ac:dyDescent="0.2">
      <c r="K32" s="51"/>
      <c r="L32" s="51"/>
      <c r="M32" s="51"/>
      <c r="N32" s="51"/>
      <c r="O32" s="51"/>
      <c r="P32" s="51"/>
    </row>
    <row r="33" spans="1:22" ht="15" customHeight="1" x14ac:dyDescent="0.2">
      <c r="I33" s="70"/>
      <c r="K33" s="51"/>
      <c r="L33" s="51"/>
      <c r="M33" s="51"/>
      <c r="N33" s="51"/>
      <c r="O33" s="51"/>
      <c r="P33" s="51"/>
    </row>
    <row r="34" spans="1:22" ht="15" customHeight="1" x14ac:dyDescent="0.2">
      <c r="K34" s="51"/>
      <c r="L34" s="51"/>
      <c r="M34" s="51"/>
      <c r="N34" s="51"/>
      <c r="O34" s="51"/>
      <c r="P34" s="51"/>
    </row>
    <row r="35" spans="1:22" ht="15" customHeight="1" x14ac:dyDescent="0.2">
      <c r="K35" s="51"/>
      <c r="L35" s="51"/>
      <c r="M35" s="51"/>
      <c r="N35" s="51"/>
      <c r="O35" s="51"/>
      <c r="P35" s="51"/>
    </row>
    <row r="36" spans="1:22" ht="15" customHeight="1" x14ac:dyDescent="0.2">
      <c r="J36" s="52"/>
      <c r="K36" s="53"/>
      <c r="L36" s="54"/>
      <c r="M36" s="54"/>
      <c r="N36" s="54"/>
      <c r="O36" s="54"/>
      <c r="P36" s="54"/>
      <c r="Q36" s="55"/>
      <c r="R36" s="52"/>
      <c r="S36" s="52"/>
      <c r="T36" s="52"/>
      <c r="U36" s="52"/>
      <c r="V36" s="52"/>
    </row>
    <row r="37" spans="1:22" ht="15" customHeight="1" x14ac:dyDescent="0.2">
      <c r="K37" s="51"/>
      <c r="L37" s="51"/>
      <c r="M37" s="51"/>
      <c r="N37" s="51"/>
      <c r="O37" s="51"/>
      <c r="P37" s="51"/>
    </row>
    <row r="38" spans="1:22" ht="15" customHeight="1" x14ac:dyDescent="0.2">
      <c r="L38" s="51"/>
      <c r="M38" s="51"/>
      <c r="N38" s="51"/>
      <c r="O38" s="51"/>
      <c r="P38" s="51"/>
    </row>
    <row r="39" spans="1:22" ht="15" customHeight="1" x14ac:dyDescent="0.2">
      <c r="L39" s="51"/>
      <c r="M39" s="51"/>
      <c r="N39" s="51"/>
      <c r="O39" s="51"/>
      <c r="P39" s="51"/>
    </row>
    <row r="40" spans="1:22" ht="15" customHeight="1" x14ac:dyDescent="0.2">
      <c r="A40" s="85" t="s">
        <v>80</v>
      </c>
      <c r="B40" s="85"/>
      <c r="C40" s="85"/>
      <c r="D40" s="85"/>
      <c r="E40" s="85"/>
      <c r="F40" s="85"/>
      <c r="L40" s="56"/>
      <c r="M40" s="56"/>
      <c r="N40" s="56"/>
      <c r="O40" s="56"/>
      <c r="P40" s="56"/>
    </row>
    <row r="41" spans="1:22" ht="15" customHeight="1" x14ac:dyDescent="0.2">
      <c r="A41" s="85"/>
      <c r="B41" s="85"/>
      <c r="C41" s="85"/>
      <c r="D41" s="85"/>
      <c r="E41" s="85"/>
      <c r="F41" s="85"/>
      <c r="J41" s="5"/>
    </row>
    <row r="42" spans="1:22" s="6" customFormat="1" ht="15" customHeight="1" x14ac:dyDescent="0.2">
      <c r="A42" s="85"/>
      <c r="B42" s="85"/>
      <c r="C42" s="85"/>
      <c r="D42" s="85"/>
      <c r="E42" s="85"/>
      <c r="F42" s="85"/>
      <c r="H42" s="7"/>
      <c r="I42" s="25"/>
      <c r="J42" s="10"/>
    </row>
    <row r="43" spans="1:22" ht="16" customHeight="1" x14ac:dyDescent="0.2">
      <c r="A43" s="85"/>
      <c r="B43" s="85"/>
      <c r="C43" s="85"/>
      <c r="D43" s="85"/>
      <c r="E43" s="85"/>
      <c r="F43" s="85"/>
      <c r="G43" s="6"/>
      <c r="H43" s="9"/>
      <c r="I43" s="15"/>
      <c r="J43" s="5"/>
    </row>
    <row r="44" spans="1:22" ht="15" customHeight="1" x14ac:dyDescent="0.2">
      <c r="A44" s="85"/>
      <c r="B44" s="85"/>
      <c r="C44" s="85"/>
      <c r="D44" s="85"/>
      <c r="E44" s="85"/>
      <c r="F44" s="85"/>
      <c r="G44" s="71"/>
      <c r="H44" s="9"/>
      <c r="I44" s="9"/>
      <c r="J44" s="5"/>
    </row>
    <row r="45" spans="1:22" ht="19" customHeight="1" x14ac:dyDescent="0.2">
      <c r="A45" s="85"/>
      <c r="B45" s="85"/>
      <c r="C45" s="85"/>
      <c r="D45" s="85"/>
      <c r="E45" s="85"/>
      <c r="F45" s="85"/>
      <c r="G45" s="71"/>
    </row>
    <row r="46" spans="1:22" ht="26" customHeight="1" x14ac:dyDescent="0.3">
      <c r="A46" s="85"/>
      <c r="B46" s="85"/>
      <c r="C46" s="85"/>
      <c r="D46" s="85"/>
      <c r="E46" s="85"/>
      <c r="F46" s="85"/>
      <c r="G46" s="71"/>
      <c r="H46" s="12" t="s">
        <v>11</v>
      </c>
      <c r="I46" s="14">
        <f>I24</f>
        <v>15300</v>
      </c>
    </row>
    <row r="47" spans="1:22" ht="16" customHeight="1" x14ac:dyDescent="0.2">
      <c r="A47" s="85"/>
      <c r="B47" s="85"/>
      <c r="C47" s="85"/>
      <c r="D47" s="85"/>
      <c r="E47" s="85"/>
      <c r="F47" s="85"/>
      <c r="G47" s="71"/>
      <c r="I47" s="8" t="str">
        <f>"+taxes"</f>
        <v>+taxes</v>
      </c>
    </row>
    <row r="48" spans="1:22" x14ac:dyDescent="0.2">
      <c r="A48" s="71"/>
      <c r="B48" s="71"/>
      <c r="C48" s="71"/>
      <c r="D48" s="71"/>
      <c r="E48" s="71"/>
      <c r="F48" s="71"/>
      <c r="G48" s="71"/>
    </row>
    <row r="49" spans="1:9" x14ac:dyDescent="0.2">
      <c r="I49" s="8"/>
    </row>
    <row r="51" spans="1:9" x14ac:dyDescent="0.2">
      <c r="A51" s="2" t="s">
        <v>53</v>
      </c>
    </row>
    <row r="53" spans="1:9" x14ac:dyDescent="0.2">
      <c r="A53" s="58" t="s">
        <v>54</v>
      </c>
      <c r="B53" s="58" t="s">
        <v>55</v>
      </c>
      <c r="C53" s="58" t="s">
        <v>56</v>
      </c>
    </row>
    <row r="54" spans="1:9" x14ac:dyDescent="0.2">
      <c r="A54">
        <v>0</v>
      </c>
      <c r="B54">
        <v>4000</v>
      </c>
      <c r="C54" s="59">
        <v>3000</v>
      </c>
    </row>
    <row r="55" spans="1:9" x14ac:dyDescent="0.2">
      <c r="A55">
        <f>B54+1</f>
        <v>4001</v>
      </c>
      <c r="B55">
        <v>7500</v>
      </c>
      <c r="C55" s="59">
        <v>4000</v>
      </c>
    </row>
    <row r="56" spans="1:9" x14ac:dyDescent="0.2">
      <c r="A56">
        <f t="shared" ref="A56:A58" si="1">B55+1</f>
        <v>7501</v>
      </c>
      <c r="B56">
        <v>12000</v>
      </c>
      <c r="C56" s="59">
        <v>6000</v>
      </c>
      <c r="D56" s="26"/>
      <c r="E56" s="26"/>
      <c r="F56" s="26"/>
      <c r="G56" s="27"/>
      <c r="H56" s="28"/>
      <c r="I56" s="27"/>
    </row>
    <row r="57" spans="1:9" x14ac:dyDescent="0.2">
      <c r="A57">
        <f t="shared" si="1"/>
        <v>12001</v>
      </c>
      <c r="B57">
        <v>25000</v>
      </c>
      <c r="C57" s="59">
        <v>7500</v>
      </c>
    </row>
    <row r="58" spans="1:9" x14ac:dyDescent="0.2">
      <c r="A58">
        <f t="shared" si="1"/>
        <v>25001</v>
      </c>
      <c r="B58">
        <v>50000</v>
      </c>
      <c r="C58" s="59">
        <v>12500</v>
      </c>
    </row>
  </sheetData>
  <mergeCells count="8">
    <mergeCell ref="A11:I12"/>
    <mergeCell ref="A40:F47"/>
    <mergeCell ref="P1:P9"/>
    <mergeCell ref="K1:K9"/>
    <mergeCell ref="L1:L9"/>
    <mergeCell ref="M1:M9"/>
    <mergeCell ref="N1:N9"/>
    <mergeCell ref="O1:O9"/>
  </mergeCells>
  <conditionalFormatting sqref="F10:G10">
    <cfRule type="cellIs" dxfId="15" priority="1" operator="equal">
      <formula>0.05</formula>
    </cfRule>
    <cfRule type="cellIs" dxfId="14" priority="2" operator="equal">
      <formula>0.25</formula>
    </cfRule>
    <cfRule type="cellIs" dxfId="13" priority="3" operator="equal">
      <formula>1</formula>
    </cfRule>
    <cfRule type="cellIs" dxfId="12" priority="4" operator="equal">
      <formula>0.5</formula>
    </cfRule>
  </conditionalFormatting>
  <conditionalFormatting sqref="H14:H16 E23 G23 G26:G31">
    <cfRule type="cellIs" dxfId="11" priority="25" operator="equal">
      <formula>0.05</formula>
    </cfRule>
    <cfRule type="cellIs" dxfId="10" priority="26" operator="equal">
      <formula>0.25</formula>
    </cfRule>
    <cfRule type="cellIs" dxfId="9" priority="27" operator="equal">
      <formula>1</formula>
    </cfRule>
    <cfRule type="cellIs" dxfId="8" priority="28" operator="equal">
      <formula>0.5</formula>
    </cfRule>
  </conditionalFormatting>
  <conditionalFormatting sqref="H42:H44">
    <cfRule type="cellIs" dxfId="7" priority="45" operator="equal">
      <formula>0.05</formula>
    </cfRule>
    <cfRule type="cellIs" dxfId="6" priority="46" operator="equal">
      <formula>0.25</formula>
    </cfRule>
    <cfRule type="cellIs" dxfId="5" priority="47" operator="equal">
      <formula>1</formula>
    </cfRule>
    <cfRule type="cellIs" dxfId="4" priority="48" operator="equal">
      <formula>0.5</formula>
    </cfRule>
  </conditionalFormatting>
  <conditionalFormatting sqref="I44">
    <cfRule type="cellIs" dxfId="3" priority="33" operator="equal">
      <formula>0.05</formula>
    </cfRule>
    <cfRule type="cellIs" dxfId="2" priority="34" operator="equal">
      <formula>0.25</formula>
    </cfRule>
    <cfRule type="cellIs" dxfId="1" priority="35" operator="equal">
      <formula>1</formula>
    </cfRule>
    <cfRule type="cellIs" dxfId="0" priority="36" operator="equal">
      <formula>0.5</formula>
    </cfRule>
  </conditionalFormatting>
  <pageMargins left="0.25" right="0.25" top="0.31944444444444442" bottom="0.3888888888888889" header="0.3" footer="0.3"/>
  <pageSetup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C176-B6F0-E949-8FE6-134117F66F30}">
  <dimension ref="A1:L49"/>
  <sheetViews>
    <sheetView topLeftCell="A24" zoomScale="125" workbookViewId="0">
      <selection activeCell="L10" sqref="L10"/>
    </sheetView>
  </sheetViews>
  <sheetFormatPr baseColWidth="10" defaultRowHeight="16" x14ac:dyDescent="0.2"/>
  <cols>
    <col min="5" max="5" width="14.5" customWidth="1"/>
    <col min="9" max="9" width="14.1640625" customWidth="1"/>
    <col min="12" max="12" width="13.5" customWidth="1"/>
  </cols>
  <sheetData>
    <row r="1" spans="1:12" x14ac:dyDescent="0.2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x14ac:dyDescent="0.2">
      <c r="A5" s="29"/>
      <c r="B5" s="29"/>
      <c r="C5" s="29"/>
      <c r="D5" s="29"/>
      <c r="E5" s="29"/>
      <c r="F5" s="29"/>
      <c r="G5" s="29"/>
      <c r="H5" s="30"/>
      <c r="I5" s="29"/>
      <c r="J5" s="29"/>
      <c r="K5" s="29"/>
      <c r="L5" s="29"/>
    </row>
    <row r="6" spans="1:12" x14ac:dyDescent="0.2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2" x14ac:dyDescent="0.2">
      <c r="A7" s="29" t="s">
        <v>12</v>
      </c>
      <c r="B7" s="29"/>
      <c r="C7" s="29"/>
      <c r="D7" s="29" t="s">
        <v>13</v>
      </c>
      <c r="E7" s="29"/>
      <c r="F7" s="29"/>
      <c r="G7" s="29"/>
      <c r="H7" s="29" t="s">
        <v>14</v>
      </c>
      <c r="I7" s="29"/>
      <c r="J7" s="29"/>
      <c r="K7" s="29" t="s">
        <v>14</v>
      </c>
      <c r="L7" s="29"/>
    </row>
    <row r="8" spans="1:12" x14ac:dyDescent="0.2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2" x14ac:dyDescent="0.2">
      <c r="A9" s="31" t="s">
        <v>10</v>
      </c>
      <c r="B9" s="32" t="s">
        <v>2</v>
      </c>
      <c r="C9" s="29"/>
      <c r="D9" s="31" t="s">
        <v>10</v>
      </c>
      <c r="E9" s="32" t="s">
        <v>2</v>
      </c>
      <c r="F9" s="29"/>
      <c r="G9" s="29"/>
      <c r="H9" s="31" t="s">
        <v>10</v>
      </c>
      <c r="I9" s="32" t="s">
        <v>2</v>
      </c>
      <c r="J9" s="29"/>
      <c r="K9" s="31" t="s">
        <v>10</v>
      </c>
      <c r="L9" s="32" t="s">
        <v>2</v>
      </c>
    </row>
    <row r="10" spans="1:12" x14ac:dyDescent="0.2">
      <c r="A10" s="33">
        <v>1</v>
      </c>
      <c r="B10" s="34">
        <f>A10*Soumission!$F27</f>
        <v>0.15768104024258622</v>
      </c>
      <c r="C10" s="29"/>
      <c r="D10" s="33">
        <v>1</v>
      </c>
      <c r="E10" s="34">
        <f>D10*Soumission!$F27</f>
        <v>0.15768104024258622</v>
      </c>
      <c r="F10" s="29"/>
      <c r="G10" s="29"/>
      <c r="H10" s="35">
        <v>0.5</v>
      </c>
      <c r="I10" s="34">
        <f>H10*Soumission!$F27</f>
        <v>7.8840520121293112E-2</v>
      </c>
      <c r="J10" s="29"/>
      <c r="K10" s="36">
        <v>0.75</v>
      </c>
      <c r="L10" s="34">
        <f>K10*Soumission!$F27</f>
        <v>0.11826078018193967</v>
      </c>
    </row>
    <row r="11" spans="1:12" x14ac:dyDescent="0.2">
      <c r="A11" s="37">
        <v>0.05</v>
      </c>
      <c r="B11" s="34">
        <f>A11*Soumission!$F28</f>
        <v>1.5598499254766925E-2</v>
      </c>
      <c r="C11" s="29"/>
      <c r="D11" s="37">
        <v>0.05</v>
      </c>
      <c r="E11" s="34">
        <f>D11*Soumission!$F28</f>
        <v>1.5598499254766925E-2</v>
      </c>
      <c r="F11" s="29"/>
      <c r="G11" s="29"/>
      <c r="H11" s="37">
        <v>0.05</v>
      </c>
      <c r="I11" s="34">
        <f>H11*Soumission!$F28</f>
        <v>1.5598499254766925E-2</v>
      </c>
      <c r="J11" s="29"/>
      <c r="K11" s="37">
        <v>0.05</v>
      </c>
      <c r="L11" s="34">
        <f>K11*Soumission!$F28</f>
        <v>1.5598499254766925E-2</v>
      </c>
    </row>
    <row r="12" spans="1:12" x14ac:dyDescent="0.2">
      <c r="A12" s="33">
        <v>1</v>
      </c>
      <c r="B12" s="34">
        <f>A12*Soumission!$F29</f>
        <v>0.14498638022305596</v>
      </c>
      <c r="C12" s="29"/>
      <c r="D12" s="33">
        <v>1</v>
      </c>
      <c r="E12" s="34">
        <f>D12*Soumission!$F29</f>
        <v>0.14498638022305596</v>
      </c>
      <c r="F12" s="29"/>
      <c r="G12" s="29"/>
      <c r="H12" s="35">
        <v>0.5</v>
      </c>
      <c r="I12" s="34">
        <f>H12*Soumission!$F29</f>
        <v>7.249319011152798E-2</v>
      </c>
      <c r="J12" s="29"/>
      <c r="K12" s="36">
        <v>0.75</v>
      </c>
      <c r="L12" s="34">
        <f>K12*Soumission!$F29</f>
        <v>0.10873978516729196</v>
      </c>
    </row>
    <row r="13" spans="1:12" x14ac:dyDescent="0.2">
      <c r="A13" s="38">
        <v>1</v>
      </c>
      <c r="B13" s="34">
        <f>A13*Soumission!$F30</f>
        <v>0.23775504959654623</v>
      </c>
      <c r="C13" s="29"/>
      <c r="D13" s="39">
        <v>0.5</v>
      </c>
      <c r="E13" s="34">
        <f>D13*Soumission!$F30</f>
        <v>0.11887752479827311</v>
      </c>
      <c r="F13" s="29"/>
      <c r="G13" s="29"/>
      <c r="H13" s="40">
        <v>0.3</v>
      </c>
      <c r="I13" s="34">
        <f>H13*Soumission!$F30</f>
        <v>7.1326514878963868E-2</v>
      </c>
      <c r="J13" s="29"/>
      <c r="K13" s="39">
        <v>0.5</v>
      </c>
      <c r="L13" s="34">
        <f>K13*Soumission!$F30</f>
        <v>0.11887752479827311</v>
      </c>
    </row>
    <row r="14" spans="1:12" x14ac:dyDescent="0.2">
      <c r="A14" s="37">
        <v>0.05</v>
      </c>
      <c r="B14" s="34">
        <f>A14*Soumission!$F31</f>
        <v>7.3803772421236584E-3</v>
      </c>
      <c r="C14" s="29"/>
      <c r="D14" s="37">
        <v>0.05</v>
      </c>
      <c r="E14" s="34">
        <f>D14*Soumission!$F31</f>
        <v>7.3803772421236584E-3</v>
      </c>
      <c r="F14" s="29"/>
      <c r="G14" s="29"/>
      <c r="H14" s="37">
        <v>0.05</v>
      </c>
      <c r="I14" s="34">
        <f>H14*Soumission!$F31</f>
        <v>7.3803772421236584E-3</v>
      </c>
      <c r="J14" s="29"/>
      <c r="K14" s="37">
        <v>0.05</v>
      </c>
      <c r="L14" s="34">
        <f>K14*Soumission!$F31</f>
        <v>7.3803772421236584E-3</v>
      </c>
    </row>
    <row r="15" spans="1:12" x14ac:dyDescent="0.2">
      <c r="A15" s="33">
        <v>1</v>
      </c>
      <c r="B15" s="34" t="e">
        <f>A15*Soumission!#REF!</f>
        <v>#REF!</v>
      </c>
      <c r="C15" s="29"/>
      <c r="D15" s="33">
        <v>1</v>
      </c>
      <c r="E15" s="34" t="e">
        <f>D15*Soumission!#REF!</f>
        <v>#REF!</v>
      </c>
      <c r="F15" s="29"/>
      <c r="G15" s="29"/>
      <c r="H15" s="35">
        <v>0.5</v>
      </c>
      <c r="I15" s="34" t="e">
        <f>H15*Soumission!#REF!</f>
        <v>#REF!</v>
      </c>
      <c r="J15" s="29"/>
      <c r="K15" s="36">
        <v>0.75</v>
      </c>
      <c r="L15" s="34" t="e">
        <f>K15*Soumission!#REF!</f>
        <v>#REF!</v>
      </c>
    </row>
    <row r="16" spans="1:12" x14ac:dyDescent="0.2">
      <c r="A16" s="33">
        <v>1</v>
      </c>
      <c r="B16" s="34" t="e">
        <f>A16*Soumission!#REF!</f>
        <v>#REF!</v>
      </c>
      <c r="C16" s="29"/>
      <c r="D16" s="33">
        <v>1</v>
      </c>
      <c r="E16" s="34" t="e">
        <f>D16*Soumission!#REF!</f>
        <v>#REF!</v>
      </c>
      <c r="F16" s="29"/>
      <c r="G16" s="29"/>
      <c r="H16" s="35">
        <v>0.5</v>
      </c>
      <c r="I16" s="34" t="e">
        <f>H16*Soumission!#REF!</f>
        <v>#REF!</v>
      </c>
      <c r="J16" s="29"/>
      <c r="K16" s="36">
        <v>0.75</v>
      </c>
      <c r="L16" s="34" t="e">
        <f>K16*Soumission!#REF!</f>
        <v>#REF!</v>
      </c>
    </row>
    <row r="17" spans="1:12" x14ac:dyDescent="0.2">
      <c r="A17" s="33">
        <v>1</v>
      </c>
      <c r="B17" s="34" t="e">
        <f>A17*Soumission!#REF!</f>
        <v>#REF!</v>
      </c>
      <c r="C17" s="29"/>
      <c r="D17" s="33">
        <v>1</v>
      </c>
      <c r="E17" s="34" t="e">
        <f>D17*Soumission!#REF!</f>
        <v>#REF!</v>
      </c>
      <c r="F17" s="29"/>
      <c r="G17" s="29"/>
      <c r="H17" s="35">
        <v>0.5</v>
      </c>
      <c r="I17" s="34" t="e">
        <f>H17*Soumission!#REF!</f>
        <v>#REF!</v>
      </c>
      <c r="J17" s="29"/>
      <c r="K17" s="36">
        <v>0.75</v>
      </c>
      <c r="L17" s="34" t="e">
        <f>K17*Soumission!#REF!</f>
        <v>#REF!</v>
      </c>
    </row>
    <row r="18" spans="1:12" x14ac:dyDescent="0.2">
      <c r="A18" s="38">
        <v>1</v>
      </c>
      <c r="B18" s="34" t="e">
        <f>A18*Soumission!#REF!</f>
        <v>#REF!</v>
      </c>
      <c r="C18" s="29"/>
      <c r="D18" s="38">
        <v>1</v>
      </c>
      <c r="E18" s="34" t="e">
        <f>D18*Soumission!#REF!</f>
        <v>#REF!</v>
      </c>
      <c r="F18" s="29"/>
      <c r="G18" s="29"/>
      <c r="H18" s="39">
        <v>0.5</v>
      </c>
      <c r="I18" s="34" t="e">
        <f>H18*Soumission!#REF!</f>
        <v>#REF!</v>
      </c>
      <c r="J18" s="29"/>
      <c r="K18" s="40">
        <v>0.75</v>
      </c>
      <c r="L18" s="34" t="e">
        <f>K18*Soumission!#REF!</f>
        <v>#REF!</v>
      </c>
    </row>
    <row r="19" spans="1:12" x14ac:dyDescent="0.2">
      <c r="A19" s="33">
        <v>1</v>
      </c>
      <c r="B19" s="34" t="e">
        <f>A19*Soumission!#REF!</f>
        <v>#REF!</v>
      </c>
      <c r="C19" s="29"/>
      <c r="D19" s="33">
        <v>1</v>
      </c>
      <c r="E19" s="34" t="e">
        <f>D19*Soumission!#REF!</f>
        <v>#REF!</v>
      </c>
      <c r="F19" s="29"/>
      <c r="G19" s="29"/>
      <c r="H19" s="35">
        <v>0.5</v>
      </c>
      <c r="I19" s="34" t="e">
        <f>H19*Soumission!#REF!</f>
        <v>#REF!</v>
      </c>
      <c r="J19" s="29"/>
      <c r="K19" s="36">
        <v>0.75</v>
      </c>
      <c r="L19" s="34" t="e">
        <f>K19*Soumission!#REF!</f>
        <v>#REF!</v>
      </c>
    </row>
    <row r="20" spans="1:12" x14ac:dyDescent="0.2">
      <c r="A20" s="33">
        <v>1</v>
      </c>
      <c r="B20" s="34" t="e">
        <f>A20*Soumission!#REF!</f>
        <v>#REF!</v>
      </c>
      <c r="C20" s="29"/>
      <c r="D20" s="33">
        <v>1</v>
      </c>
      <c r="E20" s="34" t="e">
        <f>D20*Soumission!#REF!</f>
        <v>#REF!</v>
      </c>
      <c r="F20" s="29"/>
      <c r="G20" s="29"/>
      <c r="H20" s="35">
        <v>0.5</v>
      </c>
      <c r="I20" s="34" t="e">
        <f>H20*Soumission!#REF!</f>
        <v>#REF!</v>
      </c>
      <c r="J20" s="29"/>
      <c r="K20" s="36">
        <v>0.75</v>
      </c>
      <c r="L20" s="34" t="e">
        <f>K20*Soumission!#REF!</f>
        <v>#REF!</v>
      </c>
    </row>
    <row r="21" spans="1:12" x14ac:dyDescent="0.2">
      <c r="A21" s="33">
        <v>1</v>
      </c>
      <c r="B21" s="34" t="e">
        <f>A21*Soumission!#REF!</f>
        <v>#REF!</v>
      </c>
      <c r="C21" s="29"/>
      <c r="D21" s="35">
        <v>0.5</v>
      </c>
      <c r="E21" s="34" t="e">
        <f>D21*Soumission!#REF!</f>
        <v>#REF!</v>
      </c>
      <c r="F21" s="29"/>
      <c r="G21" s="29"/>
      <c r="H21" s="36">
        <v>0.3</v>
      </c>
      <c r="I21" s="34" t="e">
        <f>H21*Soumission!#REF!</f>
        <v>#REF!</v>
      </c>
      <c r="J21" s="29"/>
      <c r="K21" s="35">
        <v>0.5</v>
      </c>
      <c r="L21" s="34" t="e">
        <f>K21*Soumission!#REF!</f>
        <v>#REF!</v>
      </c>
    </row>
    <row r="22" spans="1:12" x14ac:dyDescent="0.2">
      <c r="A22" s="33">
        <v>1</v>
      </c>
      <c r="B22" s="34" t="e">
        <f>A22*Soumission!#REF!</f>
        <v>#REF!</v>
      </c>
      <c r="C22" s="29"/>
      <c r="D22" s="33">
        <v>1</v>
      </c>
      <c r="E22" s="34" t="e">
        <f>D22*Soumission!#REF!</f>
        <v>#REF!</v>
      </c>
      <c r="F22" s="29"/>
      <c r="G22" s="29"/>
      <c r="H22" s="35">
        <v>0.5</v>
      </c>
      <c r="I22" s="34" t="e">
        <f>H22*Soumission!#REF!</f>
        <v>#REF!</v>
      </c>
      <c r="J22" s="29"/>
      <c r="K22" s="36">
        <v>0.75</v>
      </c>
      <c r="L22" s="34" t="e">
        <f>K22*Soumission!#REF!</f>
        <v>#REF!</v>
      </c>
    </row>
    <row r="23" spans="1:12" x14ac:dyDescent="0.2">
      <c r="A23" s="33">
        <v>1</v>
      </c>
      <c r="B23" s="34" t="e">
        <f>A23*Soumission!#REF!</f>
        <v>#REF!</v>
      </c>
      <c r="C23" s="29"/>
      <c r="D23" s="35">
        <v>0.5</v>
      </c>
      <c r="E23" s="34" t="e">
        <f>D23*Soumission!#REF!</f>
        <v>#REF!</v>
      </c>
      <c r="F23" s="29"/>
      <c r="G23" s="29"/>
      <c r="H23" s="36">
        <v>0.3</v>
      </c>
      <c r="I23" s="34" t="e">
        <f>H23*Soumission!#REF!</f>
        <v>#REF!</v>
      </c>
      <c r="J23" s="29"/>
      <c r="K23" s="35">
        <v>0.5</v>
      </c>
      <c r="L23" s="34" t="e">
        <f>K23*Soumission!#REF!</f>
        <v>#REF!</v>
      </c>
    </row>
    <row r="24" spans="1:12" x14ac:dyDescent="0.2">
      <c r="A24" s="38">
        <v>1</v>
      </c>
      <c r="B24" s="34" t="e">
        <f>A24*Soumission!#REF!</f>
        <v>#REF!</v>
      </c>
      <c r="C24" s="29"/>
      <c r="D24" s="38">
        <v>1</v>
      </c>
      <c r="E24" s="34" t="e">
        <f>D24*Soumission!#REF!</f>
        <v>#REF!</v>
      </c>
      <c r="F24" s="29"/>
      <c r="G24" s="29"/>
      <c r="H24" s="39">
        <v>0.5</v>
      </c>
      <c r="I24" s="34" t="e">
        <f>H24*Soumission!#REF!</f>
        <v>#REF!</v>
      </c>
      <c r="J24" s="29"/>
      <c r="K24" s="40">
        <v>0.75</v>
      </c>
      <c r="L24" s="34" t="e">
        <f>K24*Soumission!#REF!</f>
        <v>#REF!</v>
      </c>
    </row>
    <row r="25" spans="1:12" x14ac:dyDescent="0.2">
      <c r="A25" s="33">
        <v>1</v>
      </c>
      <c r="B25" s="34" t="e">
        <f>A25*Soumission!#REF!</f>
        <v>#REF!</v>
      </c>
      <c r="C25" s="29"/>
      <c r="D25" s="33">
        <v>1</v>
      </c>
      <c r="E25" s="34" t="e">
        <f>D25*Soumission!#REF!</f>
        <v>#REF!</v>
      </c>
      <c r="F25" s="29"/>
      <c r="G25" s="29"/>
      <c r="H25" s="35">
        <v>0.5</v>
      </c>
      <c r="I25" s="34" t="e">
        <f>H25*Soumission!#REF!</f>
        <v>#REF!</v>
      </c>
      <c r="J25" s="29"/>
      <c r="K25" s="36">
        <v>0.75</v>
      </c>
      <c r="L25" s="34" t="e">
        <f>K25*Soumission!#REF!</f>
        <v>#REF!</v>
      </c>
    </row>
    <row r="26" spans="1:12" x14ac:dyDescent="0.2">
      <c r="A26" s="33">
        <v>1</v>
      </c>
      <c r="B26" s="34" t="e">
        <f>A26*Soumission!#REF!</f>
        <v>#REF!</v>
      </c>
      <c r="C26" s="29"/>
      <c r="D26" s="33">
        <v>1</v>
      </c>
      <c r="E26" s="34" t="e">
        <f>D26*Soumission!#REF!</f>
        <v>#REF!</v>
      </c>
      <c r="F26" s="29"/>
      <c r="G26" s="29"/>
      <c r="H26" s="35">
        <v>0.5</v>
      </c>
      <c r="I26" s="34" t="e">
        <f>H26*Soumission!#REF!</f>
        <v>#REF!</v>
      </c>
      <c r="J26" s="29"/>
      <c r="K26" s="36">
        <v>0.75</v>
      </c>
      <c r="L26" s="34" t="e">
        <f>K26*Soumission!#REF!</f>
        <v>#REF!</v>
      </c>
    </row>
    <row r="27" spans="1:12" x14ac:dyDescent="0.2">
      <c r="A27" s="33">
        <v>1</v>
      </c>
      <c r="B27" s="34" t="e">
        <f>A27*Soumission!#REF!</f>
        <v>#REF!</v>
      </c>
      <c r="C27" s="29"/>
      <c r="D27" s="33">
        <v>1</v>
      </c>
      <c r="E27" s="34" t="e">
        <f>D27*Soumission!#REF!</f>
        <v>#REF!</v>
      </c>
      <c r="F27" s="29"/>
      <c r="G27" s="29"/>
      <c r="H27" s="35">
        <v>0.5</v>
      </c>
      <c r="I27" s="34" t="e">
        <f>H27*Soumission!#REF!</f>
        <v>#REF!</v>
      </c>
      <c r="J27" s="29"/>
      <c r="K27" s="36">
        <v>0.75</v>
      </c>
      <c r="L27" s="34" t="e">
        <f>K27*Soumission!#REF!</f>
        <v>#REF!</v>
      </c>
    </row>
    <row r="28" spans="1:12" x14ac:dyDescent="0.2">
      <c r="A28" s="41">
        <v>0.25</v>
      </c>
      <c r="B28" s="34" t="e">
        <f>A28*Soumission!#REF!</f>
        <v>#REF!</v>
      </c>
      <c r="C28" s="29"/>
      <c r="D28" s="41">
        <v>0.25</v>
      </c>
      <c r="E28" s="34" t="e">
        <f>D28*Soumission!#REF!</f>
        <v>#REF!</v>
      </c>
      <c r="F28" s="29"/>
      <c r="G28" s="29"/>
      <c r="H28" s="36">
        <v>0.1</v>
      </c>
      <c r="I28" s="34" t="e">
        <f>H28*Soumission!#REF!</f>
        <v>#REF!</v>
      </c>
      <c r="J28" s="29"/>
      <c r="K28" s="36">
        <v>0.1</v>
      </c>
      <c r="L28" s="34" t="e">
        <f>K28*Soumission!#REF!</f>
        <v>#REF!</v>
      </c>
    </row>
    <row r="29" spans="1:12" x14ac:dyDescent="0.2">
      <c r="A29" s="33">
        <v>1</v>
      </c>
      <c r="B29" s="34" t="e">
        <f>A29*Soumission!#REF!</f>
        <v>#REF!</v>
      </c>
      <c r="C29" s="29"/>
      <c r="D29" s="33">
        <v>1</v>
      </c>
      <c r="E29" s="34" t="e">
        <f>D29*Soumission!#REF!</f>
        <v>#REF!</v>
      </c>
      <c r="F29" s="29"/>
      <c r="G29" s="29"/>
      <c r="H29" s="35">
        <v>0.5</v>
      </c>
      <c r="I29" s="34" t="e">
        <f>H29*Soumission!#REF!</f>
        <v>#REF!</v>
      </c>
      <c r="J29" s="29"/>
      <c r="K29" s="36">
        <v>0.75</v>
      </c>
      <c r="L29" s="34" t="e">
        <f>K29*Soumission!#REF!</f>
        <v>#REF!</v>
      </c>
    </row>
    <row r="30" spans="1:12" x14ac:dyDescent="0.2">
      <c r="A30" s="38">
        <v>1</v>
      </c>
      <c r="B30" s="34" t="e">
        <f>A30*Soumission!#REF!</f>
        <v>#REF!</v>
      </c>
      <c r="C30" s="29"/>
      <c r="D30" s="39">
        <v>0.5</v>
      </c>
      <c r="E30" s="34" t="e">
        <f>D30*Soumission!#REF!</f>
        <v>#REF!</v>
      </c>
      <c r="F30" s="29"/>
      <c r="G30" s="29"/>
      <c r="H30" s="40">
        <v>0.3</v>
      </c>
      <c r="I30" s="34" t="e">
        <f>H30*Soumission!#REF!</f>
        <v>#REF!</v>
      </c>
      <c r="J30" s="29"/>
      <c r="K30" s="39">
        <v>0.5</v>
      </c>
      <c r="L30" s="34" t="e">
        <f>K30*Soumission!#REF!</f>
        <v>#REF!</v>
      </c>
    </row>
    <row r="31" spans="1:12" x14ac:dyDescent="0.2">
      <c r="A31" s="41">
        <v>0.25</v>
      </c>
      <c r="B31" s="34">
        <f>A31*Soumission!$G10</f>
        <v>0</v>
      </c>
      <c r="C31" s="29"/>
      <c r="D31" s="41">
        <v>0.25</v>
      </c>
      <c r="E31" s="34">
        <f>D31*Soumission!$G10</f>
        <v>0</v>
      </c>
      <c r="F31" s="29"/>
      <c r="G31" s="29"/>
      <c r="H31" s="36">
        <v>0.1</v>
      </c>
      <c r="I31" s="34">
        <f>H31*Soumission!$G10</f>
        <v>0</v>
      </c>
      <c r="J31" s="29"/>
      <c r="K31" s="36">
        <v>0.1</v>
      </c>
      <c r="L31" s="34">
        <f>K31*Soumission!$G10</f>
        <v>0</v>
      </c>
    </row>
    <row r="32" spans="1:12" x14ac:dyDescent="0.2">
      <c r="A32" s="33">
        <v>1</v>
      </c>
      <c r="B32" s="34">
        <f>A32*Soumission!$G14</f>
        <v>0</v>
      </c>
      <c r="C32" s="29"/>
      <c r="D32" s="33">
        <v>1</v>
      </c>
      <c r="E32" s="34">
        <f>D32*Soumission!$G14</f>
        <v>0</v>
      </c>
      <c r="F32" s="29"/>
      <c r="G32" s="29"/>
      <c r="H32" s="35">
        <v>0.5</v>
      </c>
      <c r="I32" s="34">
        <f>H32*Soumission!$G14</f>
        <v>0</v>
      </c>
      <c r="J32" s="29"/>
      <c r="K32" s="36">
        <v>0.75</v>
      </c>
      <c r="L32" s="34">
        <f>K32*Soumission!$G14</f>
        <v>0</v>
      </c>
    </row>
    <row r="33" spans="1:12" x14ac:dyDescent="0.2">
      <c r="A33" s="33">
        <v>1</v>
      </c>
      <c r="B33" s="34">
        <f>A33*Soumission!$G15</f>
        <v>0</v>
      </c>
      <c r="C33" s="29"/>
      <c r="D33" s="33">
        <v>1</v>
      </c>
      <c r="E33" s="34">
        <f>D33*Soumission!$G15</f>
        <v>0</v>
      </c>
      <c r="F33" s="29"/>
      <c r="G33" s="29"/>
      <c r="H33" s="35">
        <v>0.5</v>
      </c>
      <c r="I33" s="34">
        <f>H33*Soumission!$G15</f>
        <v>0</v>
      </c>
      <c r="J33" s="29"/>
      <c r="K33" s="36">
        <v>0.75</v>
      </c>
      <c r="L33" s="34">
        <f>K33*Soumission!$G15</f>
        <v>0</v>
      </c>
    </row>
    <row r="34" spans="1:12" x14ac:dyDescent="0.2">
      <c r="A34" s="41">
        <v>0.25</v>
      </c>
      <c r="B34" s="34">
        <f>A34*Soumission!$G16</f>
        <v>0</v>
      </c>
      <c r="C34" s="29"/>
      <c r="D34" s="41">
        <v>0.25</v>
      </c>
      <c r="E34" s="34">
        <f>D34*Soumission!$G16</f>
        <v>0</v>
      </c>
      <c r="F34" s="29"/>
      <c r="G34" s="29"/>
      <c r="H34" s="36">
        <v>0.1</v>
      </c>
      <c r="I34" s="34">
        <f>H34*Soumission!$G16</f>
        <v>0</v>
      </c>
      <c r="J34" s="29"/>
      <c r="K34" s="36">
        <v>0.1</v>
      </c>
      <c r="L34" s="34">
        <f>K34*Soumission!$G16</f>
        <v>0</v>
      </c>
    </row>
    <row r="35" spans="1:12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x14ac:dyDescent="0.2">
      <c r="A37" s="29"/>
      <c r="B37" s="29"/>
      <c r="C37" s="29"/>
      <c r="D37" s="30">
        <v>1</v>
      </c>
      <c r="E37" s="29"/>
      <c r="F37" s="29"/>
      <c r="G37" s="29"/>
      <c r="H37" s="30">
        <v>0.5</v>
      </c>
      <c r="I37" s="29"/>
      <c r="J37" s="29"/>
      <c r="K37" s="30">
        <v>0.75</v>
      </c>
      <c r="L37" s="29"/>
    </row>
    <row r="38" spans="1:12" x14ac:dyDescent="0.2">
      <c r="A38" s="29"/>
      <c r="B38" s="29"/>
      <c r="C38" s="29"/>
      <c r="D38" s="30">
        <v>0.5</v>
      </c>
      <c r="E38" s="29"/>
      <c r="F38" s="29"/>
      <c r="G38" s="29"/>
      <c r="H38" s="30">
        <v>0.3</v>
      </c>
      <c r="I38" s="29"/>
      <c r="J38" s="29"/>
      <c r="K38" s="30">
        <v>0.5</v>
      </c>
      <c r="L38" s="29"/>
    </row>
    <row r="39" spans="1:12" x14ac:dyDescent="0.2">
      <c r="A39" s="29"/>
      <c r="B39" s="29"/>
      <c r="C39" s="29"/>
      <c r="D39" s="30">
        <v>0.25</v>
      </c>
      <c r="E39" s="29"/>
      <c r="F39" s="29"/>
      <c r="G39" s="29"/>
      <c r="H39" s="30">
        <v>0.1</v>
      </c>
      <c r="I39" s="29"/>
      <c r="J39" s="29"/>
      <c r="K39" s="30">
        <v>0.1</v>
      </c>
      <c r="L39" s="29"/>
    </row>
    <row r="40" spans="1:12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 x14ac:dyDescent="0.2">
      <c r="A43" s="42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2" x14ac:dyDescent="0.2">
      <c r="A44" s="42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2" x14ac:dyDescent="0.2">
      <c r="A45" s="42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1:12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1:12" x14ac:dyDescent="0.2">
      <c r="A47" s="29"/>
      <c r="B47" s="43">
        <v>45181.2</v>
      </c>
      <c r="C47" s="29"/>
      <c r="D47" s="29"/>
      <c r="E47" s="43">
        <v>28387.7</v>
      </c>
      <c r="F47" s="29"/>
      <c r="G47" s="29"/>
      <c r="H47" s="29"/>
      <c r="I47" s="43">
        <v>17044.45</v>
      </c>
      <c r="J47" s="29"/>
      <c r="K47" s="29"/>
      <c r="L47" s="43">
        <v>25891.85</v>
      </c>
    </row>
    <row r="48" spans="1:12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1:12" x14ac:dyDescent="0.2">
      <c r="A49" s="29"/>
      <c r="B49" s="29"/>
      <c r="C49" s="29"/>
      <c r="D49" s="29"/>
      <c r="E49" s="44">
        <v>16793.5</v>
      </c>
      <c r="F49" s="29"/>
      <c r="G49" s="29"/>
      <c r="H49" s="29"/>
      <c r="I49" s="44">
        <v>11343.25</v>
      </c>
      <c r="J49" s="29"/>
      <c r="K49" s="29"/>
      <c r="L49" s="44">
        <v>-25891.85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7F94-4E43-F947-BC31-EE4D33E8204F}">
  <dimension ref="A1:N35"/>
  <sheetViews>
    <sheetView workbookViewId="0">
      <selection activeCell="K2" sqref="K2:K26"/>
    </sheetView>
  </sheetViews>
  <sheetFormatPr baseColWidth="10" defaultRowHeight="16" x14ac:dyDescent="0.2"/>
  <cols>
    <col min="1" max="1" width="39.5" customWidth="1"/>
    <col min="3" max="3" width="25.83203125" customWidth="1"/>
    <col min="7" max="7" width="22.6640625" customWidth="1"/>
    <col min="10" max="10" width="35.5" customWidth="1"/>
    <col min="11" max="11" width="17" customWidth="1"/>
    <col min="13" max="13" width="11.5" bestFit="1" customWidth="1"/>
  </cols>
  <sheetData>
    <row r="1" spans="1:14" x14ac:dyDescent="0.2">
      <c r="A1" t="s">
        <v>20</v>
      </c>
      <c r="B1" t="s">
        <v>21</v>
      </c>
      <c r="C1" t="s">
        <v>22</v>
      </c>
      <c r="D1" t="s">
        <v>23</v>
      </c>
      <c r="G1" t="s">
        <v>24</v>
      </c>
      <c r="H1" t="s">
        <v>25</v>
      </c>
      <c r="J1" t="s">
        <v>26</v>
      </c>
      <c r="K1" t="s">
        <v>27</v>
      </c>
      <c r="N1" t="s">
        <v>2</v>
      </c>
    </row>
    <row r="2" spans="1:14" x14ac:dyDescent="0.2">
      <c r="A2" t="s">
        <v>3</v>
      </c>
      <c r="B2">
        <v>1</v>
      </c>
      <c r="C2">
        <v>1</v>
      </c>
      <c r="D2">
        <v>1</v>
      </c>
      <c r="G2">
        <v>1</v>
      </c>
      <c r="H2">
        <v>1</v>
      </c>
      <c r="J2">
        <v>1</v>
      </c>
      <c r="K2">
        <v>1</v>
      </c>
      <c r="M2">
        <f>SUM(B2:K2)</f>
        <v>7</v>
      </c>
      <c r="N2">
        <v>10</v>
      </c>
    </row>
    <row r="3" spans="1:14" x14ac:dyDescent="0.2">
      <c r="A3" t="s">
        <v>28</v>
      </c>
      <c r="B3" s="18">
        <v>28356</v>
      </c>
      <c r="C3">
        <v>0</v>
      </c>
      <c r="D3">
        <v>0</v>
      </c>
      <c r="G3">
        <v>0</v>
      </c>
      <c r="H3">
        <v>0</v>
      </c>
      <c r="J3">
        <v>0</v>
      </c>
      <c r="K3">
        <v>0</v>
      </c>
      <c r="M3">
        <f t="shared" ref="M3:M26" si="0">SUM(B3:K3)</f>
        <v>28356</v>
      </c>
      <c r="N3" s="18">
        <v>28356</v>
      </c>
    </row>
    <row r="4" spans="1:14" x14ac:dyDescent="0.2">
      <c r="A4" t="s">
        <v>4</v>
      </c>
      <c r="B4">
        <v>4</v>
      </c>
      <c r="C4">
        <v>0</v>
      </c>
      <c r="D4">
        <v>0</v>
      </c>
      <c r="G4">
        <v>0</v>
      </c>
      <c r="H4">
        <v>0</v>
      </c>
      <c r="J4">
        <v>0</v>
      </c>
      <c r="K4">
        <v>0</v>
      </c>
      <c r="M4">
        <f t="shared" si="0"/>
        <v>4</v>
      </c>
      <c r="N4">
        <v>5</v>
      </c>
    </row>
    <row r="5" spans="1:14" x14ac:dyDescent="0.2">
      <c r="A5" t="s">
        <v>29</v>
      </c>
      <c r="B5">
        <v>13</v>
      </c>
      <c r="C5" s="18">
        <v>2281</v>
      </c>
      <c r="D5">
        <v>0</v>
      </c>
      <c r="E5" s="18"/>
      <c r="F5" s="18"/>
      <c r="G5" s="18">
        <v>2895</v>
      </c>
      <c r="H5" s="18">
        <v>2206</v>
      </c>
      <c r="I5" s="18"/>
      <c r="J5" s="18">
        <v>2328</v>
      </c>
      <c r="K5" s="18">
        <v>2086</v>
      </c>
      <c r="M5">
        <f t="shared" si="0"/>
        <v>11809</v>
      </c>
      <c r="N5" s="18">
        <v>20468</v>
      </c>
    </row>
    <row r="6" spans="1:14" x14ac:dyDescent="0.2">
      <c r="A6" t="s">
        <v>19</v>
      </c>
      <c r="B6" s="18">
        <v>3254</v>
      </c>
      <c r="C6" s="18">
        <v>3495</v>
      </c>
      <c r="D6">
        <v>0</v>
      </c>
      <c r="E6" s="18"/>
      <c r="G6" s="18">
        <v>4236</v>
      </c>
      <c r="H6" s="18">
        <v>2856</v>
      </c>
      <c r="I6" s="18"/>
      <c r="J6" s="18">
        <v>4259</v>
      </c>
      <c r="K6" s="18">
        <v>2833</v>
      </c>
      <c r="M6">
        <f t="shared" si="0"/>
        <v>20933</v>
      </c>
      <c r="N6" s="18">
        <v>28302</v>
      </c>
    </row>
    <row r="7" spans="1:14" x14ac:dyDescent="0.2">
      <c r="A7" t="s">
        <v>30</v>
      </c>
      <c r="B7">
        <v>0</v>
      </c>
      <c r="C7">
        <v>88</v>
      </c>
      <c r="D7">
        <v>0</v>
      </c>
      <c r="G7">
        <v>12</v>
      </c>
      <c r="H7">
        <v>4</v>
      </c>
      <c r="J7">
        <v>41</v>
      </c>
      <c r="K7">
        <v>201</v>
      </c>
      <c r="M7">
        <f t="shared" si="0"/>
        <v>346</v>
      </c>
      <c r="N7">
        <v>347</v>
      </c>
    </row>
    <row r="8" spans="1:14" x14ac:dyDescent="0.2">
      <c r="A8" t="s">
        <v>31</v>
      </c>
      <c r="B8">
        <v>1</v>
      </c>
      <c r="C8">
        <v>0</v>
      </c>
      <c r="D8">
        <v>0</v>
      </c>
      <c r="G8">
        <v>0</v>
      </c>
      <c r="H8">
        <v>0</v>
      </c>
      <c r="J8">
        <v>0</v>
      </c>
      <c r="K8">
        <v>1</v>
      </c>
      <c r="M8">
        <f t="shared" si="0"/>
        <v>2</v>
      </c>
      <c r="N8">
        <v>2</v>
      </c>
    </row>
    <row r="9" spans="1:14" x14ac:dyDescent="0.2">
      <c r="A9" t="s">
        <v>32</v>
      </c>
      <c r="B9">
        <v>0</v>
      </c>
      <c r="C9">
        <v>0</v>
      </c>
      <c r="D9">
        <v>0</v>
      </c>
      <c r="G9">
        <v>0</v>
      </c>
      <c r="H9">
        <v>0</v>
      </c>
      <c r="J9">
        <v>0</v>
      </c>
      <c r="K9">
        <v>0</v>
      </c>
      <c r="M9">
        <f t="shared" si="0"/>
        <v>0</v>
      </c>
      <c r="N9">
        <v>0</v>
      </c>
    </row>
    <row r="10" spans="1:14" x14ac:dyDescent="0.2">
      <c r="A10" t="s">
        <v>5</v>
      </c>
      <c r="B10">
        <v>1</v>
      </c>
      <c r="C10">
        <v>1</v>
      </c>
      <c r="D10">
        <v>1</v>
      </c>
      <c r="G10">
        <v>1</v>
      </c>
      <c r="H10">
        <v>1</v>
      </c>
      <c r="J10">
        <v>1</v>
      </c>
      <c r="K10">
        <v>1</v>
      </c>
      <c r="M10">
        <f t="shared" si="0"/>
        <v>7</v>
      </c>
      <c r="N10">
        <v>10</v>
      </c>
    </row>
    <row r="11" spans="1:14" x14ac:dyDescent="0.2">
      <c r="A11" s="16" t="s">
        <v>6</v>
      </c>
      <c r="B11" s="17">
        <v>2</v>
      </c>
      <c r="C11" s="16">
        <v>3</v>
      </c>
      <c r="D11" s="16">
        <v>0</v>
      </c>
      <c r="G11">
        <v>9</v>
      </c>
      <c r="H11">
        <v>33</v>
      </c>
      <c r="J11">
        <v>9</v>
      </c>
      <c r="K11">
        <v>6</v>
      </c>
      <c r="M11">
        <f t="shared" si="0"/>
        <v>62</v>
      </c>
      <c r="N11">
        <v>90</v>
      </c>
    </row>
    <row r="12" spans="1:14" x14ac:dyDescent="0.2">
      <c r="A12" s="16" t="s">
        <v>33</v>
      </c>
      <c r="B12" s="17">
        <v>0</v>
      </c>
      <c r="C12" s="16">
        <v>0</v>
      </c>
      <c r="D12" s="16">
        <v>0</v>
      </c>
      <c r="G12">
        <v>0</v>
      </c>
      <c r="H12">
        <v>0</v>
      </c>
      <c r="J12">
        <v>1</v>
      </c>
      <c r="K12">
        <v>38</v>
      </c>
      <c r="M12">
        <f t="shared" si="0"/>
        <v>39</v>
      </c>
      <c r="N12">
        <v>194</v>
      </c>
    </row>
    <row r="13" spans="1:14" x14ac:dyDescent="0.2">
      <c r="A13" s="16" t="s">
        <v>34</v>
      </c>
      <c r="B13" s="17">
        <v>0</v>
      </c>
      <c r="C13" s="16">
        <v>0</v>
      </c>
      <c r="D13" s="16">
        <v>0</v>
      </c>
      <c r="G13">
        <v>0</v>
      </c>
      <c r="H13">
        <v>0</v>
      </c>
      <c r="J13">
        <v>0</v>
      </c>
      <c r="K13">
        <v>0</v>
      </c>
      <c r="M13">
        <f t="shared" si="0"/>
        <v>0</v>
      </c>
      <c r="N13">
        <v>6</v>
      </c>
    </row>
    <row r="14" spans="1:14" x14ac:dyDescent="0.2">
      <c r="A14" s="19" t="s">
        <v>7</v>
      </c>
      <c r="B14" s="20">
        <v>3</v>
      </c>
      <c r="C14" s="19">
        <v>0</v>
      </c>
      <c r="D14" s="19">
        <v>0</v>
      </c>
      <c r="G14">
        <v>2</v>
      </c>
      <c r="H14">
        <v>0</v>
      </c>
      <c r="J14">
        <v>0</v>
      </c>
      <c r="K14">
        <v>68</v>
      </c>
      <c r="M14">
        <f t="shared" si="0"/>
        <v>73</v>
      </c>
      <c r="N14" s="18">
        <v>1071</v>
      </c>
    </row>
    <row r="15" spans="1:14" x14ac:dyDescent="0.2">
      <c r="A15" s="16" t="s">
        <v>35</v>
      </c>
      <c r="B15" s="17">
        <v>0</v>
      </c>
      <c r="C15" s="16">
        <v>538</v>
      </c>
      <c r="D15" s="16">
        <v>9</v>
      </c>
      <c r="G15">
        <v>48</v>
      </c>
      <c r="H15">
        <v>9</v>
      </c>
      <c r="I15" s="18"/>
      <c r="J15">
        <v>9</v>
      </c>
      <c r="K15">
        <v>15</v>
      </c>
      <c r="M15">
        <f t="shared" si="0"/>
        <v>628</v>
      </c>
      <c r="N15" s="18">
        <v>2779</v>
      </c>
    </row>
    <row r="16" spans="1:14" x14ac:dyDescent="0.2">
      <c r="A16" s="16" t="s">
        <v>36</v>
      </c>
      <c r="B16" s="17">
        <v>18</v>
      </c>
      <c r="C16" s="16">
        <v>32</v>
      </c>
      <c r="D16" s="16">
        <v>0</v>
      </c>
      <c r="G16">
        <v>88</v>
      </c>
      <c r="H16">
        <v>50</v>
      </c>
      <c r="J16">
        <v>66</v>
      </c>
      <c r="K16">
        <v>41</v>
      </c>
      <c r="M16">
        <f t="shared" si="0"/>
        <v>295</v>
      </c>
      <c r="N16">
        <v>436</v>
      </c>
    </row>
    <row r="17" spans="1:14" x14ac:dyDescent="0.2">
      <c r="A17" s="16" t="s">
        <v>8</v>
      </c>
      <c r="B17" s="17">
        <v>0</v>
      </c>
      <c r="C17" s="16">
        <v>3</v>
      </c>
      <c r="D17" s="16">
        <v>0</v>
      </c>
      <c r="G17">
        <v>4</v>
      </c>
      <c r="H17">
        <v>4</v>
      </c>
      <c r="J17">
        <v>5</v>
      </c>
      <c r="K17">
        <v>5</v>
      </c>
      <c r="M17">
        <f t="shared" si="0"/>
        <v>21</v>
      </c>
      <c r="N17">
        <v>38</v>
      </c>
    </row>
    <row r="18" spans="1:14" x14ac:dyDescent="0.2">
      <c r="A18" s="16" t="s">
        <v>37</v>
      </c>
      <c r="B18" s="17">
        <v>44</v>
      </c>
      <c r="C18" s="16">
        <v>0</v>
      </c>
      <c r="D18" s="16">
        <v>0</v>
      </c>
      <c r="G18">
        <v>0</v>
      </c>
      <c r="H18">
        <v>0</v>
      </c>
      <c r="J18">
        <v>0</v>
      </c>
      <c r="K18">
        <v>0</v>
      </c>
      <c r="M18">
        <f t="shared" si="0"/>
        <v>44</v>
      </c>
      <c r="N18">
        <v>44</v>
      </c>
    </row>
    <row r="19" spans="1:14" x14ac:dyDescent="0.2">
      <c r="A19" s="19" t="s">
        <v>38</v>
      </c>
      <c r="B19" s="20">
        <v>0</v>
      </c>
      <c r="C19" s="19">
        <v>0</v>
      </c>
      <c r="D19" s="19">
        <v>0</v>
      </c>
      <c r="G19">
        <v>0</v>
      </c>
      <c r="H19">
        <v>0</v>
      </c>
      <c r="J19">
        <v>0</v>
      </c>
      <c r="K19">
        <v>0</v>
      </c>
      <c r="M19">
        <f t="shared" si="0"/>
        <v>0</v>
      </c>
      <c r="N19">
        <v>0</v>
      </c>
    </row>
    <row r="20" spans="1:14" x14ac:dyDescent="0.2">
      <c r="A20" s="16" t="s">
        <v>39</v>
      </c>
      <c r="B20" s="17">
        <v>0</v>
      </c>
      <c r="C20" s="16">
        <v>0</v>
      </c>
      <c r="D20" s="16">
        <v>0</v>
      </c>
      <c r="G20">
        <v>0</v>
      </c>
      <c r="H20">
        <v>0</v>
      </c>
      <c r="J20">
        <v>0</v>
      </c>
      <c r="K20">
        <v>0</v>
      </c>
      <c r="M20">
        <f t="shared" si="0"/>
        <v>0</v>
      </c>
      <c r="N20">
        <v>0</v>
      </c>
    </row>
    <row r="21" spans="1:14" x14ac:dyDescent="0.2">
      <c r="A21" s="16" t="s">
        <v>40</v>
      </c>
      <c r="B21" s="17">
        <v>0</v>
      </c>
      <c r="C21" s="16">
        <v>1</v>
      </c>
      <c r="D21" s="16">
        <v>0</v>
      </c>
      <c r="G21">
        <v>0</v>
      </c>
      <c r="H21">
        <v>2</v>
      </c>
      <c r="J21">
        <v>0</v>
      </c>
      <c r="K21">
        <v>0</v>
      </c>
      <c r="M21">
        <f t="shared" si="0"/>
        <v>3</v>
      </c>
      <c r="N21">
        <v>484</v>
      </c>
    </row>
    <row r="22" spans="1:14" x14ac:dyDescent="0.2">
      <c r="A22" s="16" t="s">
        <v>41</v>
      </c>
      <c r="B22" s="17">
        <v>1</v>
      </c>
      <c r="C22" s="21">
        <v>4004</v>
      </c>
      <c r="D22" s="16">
        <v>0</v>
      </c>
      <c r="E22" s="18"/>
      <c r="G22" s="18">
        <v>5354</v>
      </c>
      <c r="H22" s="18">
        <v>2507</v>
      </c>
      <c r="I22" s="18"/>
      <c r="J22" s="18">
        <v>4819</v>
      </c>
      <c r="K22" s="18">
        <v>4465</v>
      </c>
      <c r="M22">
        <f t="shared" si="0"/>
        <v>21150</v>
      </c>
      <c r="N22" s="18">
        <v>31892</v>
      </c>
    </row>
    <row r="23" spans="1:14" x14ac:dyDescent="0.2">
      <c r="A23" s="16" t="s">
        <v>42</v>
      </c>
      <c r="B23" s="17">
        <v>2275</v>
      </c>
      <c r="C23" s="16">
        <v>0</v>
      </c>
      <c r="D23" s="16">
        <v>0</v>
      </c>
      <c r="G23">
        <v>0</v>
      </c>
      <c r="H23">
        <v>0</v>
      </c>
      <c r="J23">
        <v>0</v>
      </c>
      <c r="K23">
        <v>0</v>
      </c>
      <c r="M23">
        <f t="shared" si="0"/>
        <v>2275</v>
      </c>
      <c r="N23" s="18">
        <v>2275</v>
      </c>
    </row>
    <row r="24" spans="1:14" x14ac:dyDescent="0.2">
      <c r="A24" s="16" t="s">
        <v>9</v>
      </c>
      <c r="B24" s="17">
        <v>0</v>
      </c>
      <c r="C24" s="21">
        <v>1381</v>
      </c>
      <c r="D24" s="16">
        <v>0</v>
      </c>
      <c r="G24" s="18">
        <v>1979</v>
      </c>
      <c r="H24" s="18">
        <v>1765</v>
      </c>
      <c r="I24" s="18"/>
      <c r="J24" s="18">
        <v>1375</v>
      </c>
      <c r="K24" s="18">
        <v>1067</v>
      </c>
      <c r="M24">
        <f t="shared" si="0"/>
        <v>7567</v>
      </c>
      <c r="N24" s="18">
        <v>9938</v>
      </c>
    </row>
    <row r="25" spans="1:14" x14ac:dyDescent="0.2">
      <c r="A25" s="19" t="s">
        <v>43</v>
      </c>
      <c r="B25" s="20">
        <v>0</v>
      </c>
      <c r="C25" s="19">
        <v>2</v>
      </c>
      <c r="D25" s="19">
        <v>0</v>
      </c>
      <c r="G25">
        <v>5</v>
      </c>
      <c r="H25">
        <v>36</v>
      </c>
      <c r="J25">
        <v>6</v>
      </c>
      <c r="K25">
        <v>3</v>
      </c>
      <c r="M25">
        <f t="shared" si="0"/>
        <v>52</v>
      </c>
      <c r="N25">
        <v>85</v>
      </c>
    </row>
    <row r="26" spans="1:14" x14ac:dyDescent="0.2">
      <c r="A26" s="16" t="s">
        <v>44</v>
      </c>
      <c r="B26" s="17">
        <v>0</v>
      </c>
      <c r="C26" s="16">
        <v>23</v>
      </c>
      <c r="D26" s="16">
        <v>0</v>
      </c>
      <c r="E26" s="18"/>
      <c r="G26">
        <v>0</v>
      </c>
      <c r="H26">
        <v>1</v>
      </c>
      <c r="I26" s="18"/>
      <c r="J26">
        <v>0</v>
      </c>
      <c r="K26">
        <v>140</v>
      </c>
      <c r="M26">
        <f t="shared" si="0"/>
        <v>164</v>
      </c>
      <c r="N26" s="18">
        <v>2704</v>
      </c>
    </row>
    <row r="27" spans="1:14" x14ac:dyDescent="0.2">
      <c r="A27" s="16"/>
      <c r="B27" s="17"/>
      <c r="C27" s="16"/>
      <c r="D27" s="16"/>
    </row>
    <row r="28" spans="1:14" x14ac:dyDescent="0.2">
      <c r="A28" s="16"/>
      <c r="B28">
        <f>SUM(B2:B26)</f>
        <v>33973</v>
      </c>
      <c r="C28">
        <f>SUM(C2:C26)</f>
        <v>11853</v>
      </c>
      <c r="D28">
        <f>SUM(D2:D26)</f>
        <v>11</v>
      </c>
      <c r="G28">
        <f>SUM(G2:G26)</f>
        <v>14634</v>
      </c>
      <c r="H28">
        <f>SUM(H2:H26)</f>
        <v>9475</v>
      </c>
      <c r="J28">
        <f>SUM(J2:J26)</f>
        <v>12920</v>
      </c>
      <c r="K28">
        <f>SUM(K2:K26)</f>
        <v>10971</v>
      </c>
      <c r="M28">
        <f>SUM(M2:M26)</f>
        <v>93837</v>
      </c>
      <c r="N28">
        <f>SUM(N2:N26)</f>
        <v>129536</v>
      </c>
    </row>
    <row r="29" spans="1:14" x14ac:dyDescent="0.2">
      <c r="A29" s="16"/>
      <c r="B29" s="22">
        <f>B28/$M28</f>
        <v>0.36204269104937287</v>
      </c>
      <c r="C29" s="22">
        <f>C28/$M28</f>
        <v>0.1263147798842674</v>
      </c>
      <c r="D29" s="22"/>
      <c r="E29" s="22"/>
      <c r="F29" s="22"/>
      <c r="G29" s="22">
        <f t="shared" ref="G29:K29" si="1">G28/$M28</f>
        <v>0.15595127721474472</v>
      </c>
      <c r="H29" s="22">
        <f t="shared" si="1"/>
        <v>0.10097296375630083</v>
      </c>
      <c r="I29" s="22"/>
      <c r="J29" s="22">
        <f t="shared" si="1"/>
        <v>0.13768556113260227</v>
      </c>
      <c r="K29" s="22">
        <f t="shared" si="1"/>
        <v>0.11691550241376003</v>
      </c>
    </row>
    <row r="30" spans="1:14" x14ac:dyDescent="0.2">
      <c r="A30" s="16"/>
      <c r="B30" s="16">
        <v>36</v>
      </c>
      <c r="C30" s="16">
        <v>13</v>
      </c>
      <c r="D30" s="16"/>
      <c r="G30">
        <v>16</v>
      </c>
      <c r="H30">
        <v>10</v>
      </c>
      <c r="J30">
        <v>14</v>
      </c>
      <c r="K30">
        <v>12</v>
      </c>
      <c r="M30">
        <f>SUM(C30:K30)</f>
        <v>65</v>
      </c>
    </row>
    <row r="31" spans="1:14" x14ac:dyDescent="0.2">
      <c r="A31" s="16"/>
      <c r="B31" s="17"/>
      <c r="C31" s="16"/>
      <c r="D31" s="16"/>
    </row>
    <row r="32" spans="1:14" x14ac:dyDescent="0.2">
      <c r="A32" s="16"/>
      <c r="B32" s="17"/>
      <c r="C32" s="16"/>
      <c r="D32" s="16"/>
    </row>
    <row r="33" spans="1:13" x14ac:dyDescent="0.2">
      <c r="A33" s="16"/>
      <c r="B33" s="17"/>
      <c r="C33" s="23">
        <f>Soumission!$I$46</f>
        <v>15300</v>
      </c>
      <c r="D33" s="16"/>
      <c r="G33" s="23">
        <f>Soumission!$I$46</f>
        <v>15300</v>
      </c>
      <c r="H33" s="23">
        <f>Soumission!$I$46</f>
        <v>15300</v>
      </c>
      <c r="J33" s="23">
        <f>Soumission!$I$46</f>
        <v>15300</v>
      </c>
      <c r="K33" s="23">
        <f>Soumission!$I$46</f>
        <v>15300</v>
      </c>
    </row>
    <row r="34" spans="1:13" x14ac:dyDescent="0.2">
      <c r="A34" s="16"/>
      <c r="B34" s="17"/>
      <c r="C34" s="23">
        <f>C33*(C29+($B$29/5))</f>
        <v>3040.4667668403717</v>
      </c>
      <c r="D34" s="16"/>
      <c r="G34" s="23">
        <f>G33*(G29+($B$29/5))</f>
        <v>3493.9051759966756</v>
      </c>
      <c r="H34" s="23">
        <f>H33*(H29+($B$29/5))</f>
        <v>2652.7369800824836</v>
      </c>
      <c r="J34" s="23">
        <f>J33*(J29+($B$29/5))</f>
        <v>3214.4397199398959</v>
      </c>
      <c r="K34" s="23">
        <f>K33*(K29+($B$29/5))</f>
        <v>2896.6578215416098</v>
      </c>
      <c r="M34" s="24">
        <f t="shared" ref="M34:M35" si="2">SUM(B34:K34)</f>
        <v>15298.206464401037</v>
      </c>
    </row>
    <row r="35" spans="1:13" x14ac:dyDescent="0.2">
      <c r="A35" s="16"/>
      <c r="B35" s="17"/>
      <c r="C35" s="16">
        <v>5145</v>
      </c>
      <c r="D35" s="16"/>
      <c r="G35">
        <v>5912</v>
      </c>
      <c r="H35">
        <v>4489</v>
      </c>
      <c r="J35">
        <v>5439</v>
      </c>
      <c r="K35">
        <v>4901</v>
      </c>
      <c r="M35" s="24">
        <f t="shared" si="2"/>
        <v>25886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Soumission</vt:lpstr>
      <vt:lpstr>Prix</vt:lpstr>
      <vt:lpstr>Données</vt:lpstr>
      <vt:lpstr>Soumission!Print_Area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Pedneault</dc:creator>
  <cp:lastModifiedBy>Sylvain Pedneault</cp:lastModifiedBy>
  <cp:lastPrinted>2026-05-05T18:35:59Z</cp:lastPrinted>
  <dcterms:created xsi:type="dcterms:W3CDTF">2026-03-12T00:42:15Z</dcterms:created>
  <dcterms:modified xsi:type="dcterms:W3CDTF">2026-05-05T18:41:50Z</dcterms:modified>
</cp:coreProperties>
</file>