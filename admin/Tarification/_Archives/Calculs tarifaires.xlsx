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ain/Development/migration4o/doc/"/>
    </mc:Choice>
  </mc:AlternateContent>
  <xr:revisionPtr revIDLastSave="0" documentId="13_ncr:1_{F3077531-2D92-3F49-BCC1-83129384EE03}" xr6:coauthVersionLast="47" xr6:coauthVersionMax="47" xr10:uidLastSave="{00000000-0000-0000-0000-000000000000}"/>
  <bookViews>
    <workbookView xWindow="5500" yWindow="1860" windowWidth="28100" windowHeight="17460" xr2:uid="{DA79221F-BAFE-764C-A42A-6DFE34FE8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31" i="1" s="1"/>
  <c r="F12" i="1"/>
  <c r="G12" i="1" s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<sst xmlns="http://schemas.openxmlformats.org/spreadsheetml/2006/main" count="82" uniqueCount="78">
  <si>
    <t>Prévention</t>
  </si>
  <si>
    <t>Intervention</t>
  </si>
  <si>
    <t>RCCI</t>
  </si>
  <si>
    <t>Formation</t>
  </si>
  <si>
    <t>Équipements</t>
  </si>
  <si>
    <t>Sécurité civile</t>
  </si>
  <si>
    <t>Horaires</t>
  </si>
  <si>
    <t>Rapports</t>
  </si>
  <si>
    <t>Documents</t>
  </si>
  <si>
    <t>Catégorie</t>
  </si>
  <si>
    <t>Module</t>
  </si>
  <si>
    <t>Description</t>
  </si>
  <si>
    <t>Coût unitaire</t>
  </si>
  <si>
    <t>Type d’objet compté</t>
  </si>
  <si>
    <t>Organisation</t>
  </si>
  <si>
    <t>Configuration</t>
  </si>
  <si>
    <t>Tous les paramètres et configurations du SSI</t>
  </si>
  <si>
    <t>par SSI</t>
  </si>
  <si>
    <t>Pièces jointes, photos, etc.</t>
  </si>
  <si>
    <t>par document</t>
  </si>
  <si>
    <t>Rapport central et sections</t>
  </si>
  <si>
    <t>par rapport central</t>
  </si>
  <si>
    <t>Territoire</t>
  </si>
  <si>
    <t>Dossier adresse</t>
  </si>
  <si>
    <t>Dossiers actifs</t>
  </si>
  <si>
    <t>par dossier adresse actif</t>
  </si>
  <si>
    <t>Copies antérieures de dossiers, pour archives</t>
  </si>
  <si>
    <t>par dossier adresse antérieur</t>
  </si>
  <si>
    <t>Plan d’intervention</t>
  </si>
  <si>
    <t>Plans et toutes les données liées</t>
  </si>
  <si>
    <t>par plan</t>
  </si>
  <si>
    <t>Plan de sécurité civile et documents afférents</t>
  </si>
  <si>
    <t>Interventions et simulations, incluant registres</t>
  </si>
  <si>
    <t>par intervention ou simulation</t>
  </si>
  <si>
    <t>Matériel</t>
  </si>
  <si>
    <t>Casernes</t>
  </si>
  <si>
    <t>par caserne</t>
  </si>
  <si>
    <t>Véhicules</t>
  </si>
  <si>
    <t>par véhicule</t>
  </si>
  <si>
    <t>Bornes et points d’eau</t>
  </si>
  <si>
    <t>Définitions des bornes et points d’eau</t>
  </si>
  <si>
    <t>par borne ou point d’eau</t>
  </si>
  <si>
    <t>Maintenances sur les bornes et points d’eau</t>
  </si>
  <si>
    <t>par maintenance</t>
  </si>
  <si>
    <t>Définitions des équipements</t>
  </si>
  <si>
    <t>par équipement</t>
  </si>
  <si>
    <t>Maintenances sur les équipements</t>
  </si>
  <si>
    <t>Personnel</t>
  </si>
  <si>
    <t>Employés</t>
  </si>
  <si>
    <t>Dossiers d’employé</t>
  </si>
  <si>
    <t>par employé</t>
  </si>
  <si>
    <t>Équipes</t>
  </si>
  <si>
    <t>Regroupements d’employés par équipe</t>
  </si>
  <si>
    <t>par équipe</t>
  </si>
  <si>
    <t>Utilisateurs</t>
  </si>
  <si>
    <t>Comptes utilisateurs pour les employés autorisés</t>
  </si>
  <si>
    <t>par utilisateur</t>
  </si>
  <si>
    <t>Configurations d’horaires</t>
  </si>
  <si>
    <t>par horaire</t>
  </si>
  <si>
    <t>Quarts de travail créés</t>
  </si>
  <si>
    <t>par quart</t>
  </si>
  <si>
    <t>Formations offertes / suivies</t>
  </si>
  <si>
    <t>par formation</t>
  </si>
  <si>
    <t>Activités</t>
  </si>
  <si>
    <t>Activité de prévention</t>
  </si>
  <si>
    <t>par prévention</t>
  </si>
  <si>
    <t>Type d’anomalie et configurations associées</t>
  </si>
  <si>
    <t>par type d’anomalie</t>
  </si>
  <si>
    <t>Rapport d’intervention</t>
  </si>
  <si>
    <t>par intervention</t>
  </si>
  <si>
    <t>Rapport d’enquête RCCI complet (pas DSI)</t>
  </si>
  <si>
    <t>par enquête</t>
  </si>
  <si>
    <t>Autre travail</t>
  </si>
  <si>
    <t>Feuilles de temps autres</t>
  </si>
  <si>
    <t>par feuille de travail</t>
  </si>
  <si>
    <t>Unités</t>
  </si>
  <si>
    <t>Total</t>
  </si>
  <si>
    <t>Crédit dossiers 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</si>
</sst>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70C0"/>
      <name val="Aptos"/>
    </font>
    <font>
      <b/>
      <sz val="12"/>
      <color rgb="FF00B050"/>
      <name val="Aptos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2" fillId="2" borderId="2" xfId="1" applyNumberFormat="1" applyFont="1" applyFill="1" applyBorder="1" applyAlignment="1">
      <alignment vertical="center" wrapText="1"/>
    </xf>
    <xf numFmtId="0" fontId="4" fillId="0" borderId="5" xfId="1" applyNumberFormat="1" applyFont="1" applyBorder="1" applyAlignment="1">
      <alignment vertical="center" wrapText="1"/>
    </xf>
    <xf numFmtId="0" fontId="8" fillId="3" borderId="5" xfId="1" applyNumberFormat="1" applyFont="1" applyFill="1" applyBorder="1" applyAlignment="1">
      <alignment vertical="center" wrapText="1"/>
    </xf>
    <xf numFmtId="0" fontId="0" fillId="0" borderId="0" xfId="1" applyNumberFormat="1" applyFont="1"/>
    <xf numFmtId="44" fontId="2" fillId="2" borderId="2" xfId="1" applyNumberFormat="1" applyFont="1" applyFill="1" applyBorder="1" applyAlignment="1">
      <alignment vertical="center" wrapText="1"/>
    </xf>
    <xf numFmtId="44" fontId="0" fillId="0" borderId="0" xfId="1" applyNumberFormat="1" applyFont="1"/>
    <xf numFmtId="0" fontId="4" fillId="0" borderId="0" xfId="0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7605-080D-DE42-B1D8-55606D96EAF2}">
  <dimension ref="A1:G31"/>
  <sheetViews>
    <sheetView tabSelected="1" workbookViewId="0">
      <selection activeCell="H32" sqref="H32"/>
    </sheetView>
  </sheetViews>
  <sheetFormatPr baseColWidth="10" defaultRowHeight="16"/>
  <cols>
    <col min="1" max="1" width="20.140625" customWidth="1"/>
    <col min="2" max="2" width="28.28515625" style="1" customWidth="1"/>
    <col min="3" max="3" width="49.28515625" customWidth="1"/>
    <col min="5" max="5" width="24.7109375" customWidth="1"/>
    <col min="6" max="6" width="11.7109375" style="22" customWidth="1"/>
    <col min="7" max="7" width="11" style="24" bestFit="1" customWidth="1"/>
  </cols>
  <sheetData>
    <row r="1" spans="1:7" ht="35" thickBot="1">
      <c r="A1" s="2" t="s">
        <v>9</v>
      </c>
      <c r="B1" s="3" t="s">
        <v>10</v>
      </c>
      <c r="C1" s="3" t="s">
        <v>11</v>
      </c>
      <c r="D1" s="4" t="s">
        <v>12</v>
      </c>
      <c r="E1" s="3" t="s">
        <v>13</v>
      </c>
      <c r="F1" s="19" t="s">
        <v>75</v>
      </c>
      <c r="G1" s="23" t="s">
        <v>76</v>
      </c>
    </row>
    <row r="2" spans="1:7" ht="18" thickBot="1">
      <c r="A2" s="5" t="s">
        <v>14</v>
      </c>
      <c r="B2" s="6" t="s">
        <v>15</v>
      </c>
      <c r="C2" s="7" t="s">
        <v>16</v>
      </c>
      <c r="D2" s="8">
        <v>1</v>
      </c>
      <c r="E2" s="7" t="s">
        <v>17</v>
      </c>
      <c r="F2" s="20">
        <v>1</v>
      </c>
      <c r="G2" s="24">
        <f>D2*F2</f>
        <v>1</v>
      </c>
    </row>
    <row r="3" spans="1:7" ht="18" thickBot="1">
      <c r="A3" s="9"/>
      <c r="B3" s="6" t="s">
        <v>8</v>
      </c>
      <c r="C3" s="7" t="s">
        <v>18</v>
      </c>
      <c r="D3" s="10">
        <v>0.05</v>
      </c>
      <c r="E3" s="7" t="s">
        <v>19</v>
      </c>
      <c r="F3" s="20">
        <v>65761</v>
      </c>
      <c r="G3" s="24">
        <f t="shared" ref="G3:G26" si="0">D3*F3</f>
        <v>3288.05</v>
      </c>
    </row>
    <row r="4" spans="1:7" ht="18" thickBot="1">
      <c r="A4" s="11"/>
      <c r="B4" s="6" t="s">
        <v>7</v>
      </c>
      <c r="C4" s="7" t="s">
        <v>20</v>
      </c>
      <c r="D4" s="8">
        <v>1</v>
      </c>
      <c r="E4" s="7" t="s">
        <v>21</v>
      </c>
      <c r="F4" s="20">
        <v>2</v>
      </c>
      <c r="G4" s="24">
        <f t="shared" si="0"/>
        <v>2</v>
      </c>
    </row>
    <row r="5" spans="1:7" ht="18" thickBot="1">
      <c r="A5" s="12" t="s">
        <v>22</v>
      </c>
      <c r="B5" s="12" t="s">
        <v>23</v>
      </c>
      <c r="C5" s="13" t="s">
        <v>24</v>
      </c>
      <c r="D5" s="14">
        <v>0.5</v>
      </c>
      <c r="E5" s="13" t="s">
        <v>25</v>
      </c>
      <c r="F5" s="21">
        <v>6609</v>
      </c>
      <c r="G5" s="24">
        <f t="shared" si="0"/>
        <v>3304.5</v>
      </c>
    </row>
    <row r="6" spans="1:7" ht="18" thickBot="1">
      <c r="A6" s="15"/>
      <c r="B6" s="15"/>
      <c r="C6" s="13" t="s">
        <v>26</v>
      </c>
      <c r="D6" s="16">
        <v>0.05</v>
      </c>
      <c r="E6" s="13" t="s">
        <v>27</v>
      </c>
      <c r="F6" s="21">
        <v>14082</v>
      </c>
      <c r="G6" s="24">
        <f t="shared" si="0"/>
        <v>704.1</v>
      </c>
    </row>
    <row r="7" spans="1:7" ht="18" thickBot="1">
      <c r="A7" s="15"/>
      <c r="B7" s="18" t="s">
        <v>28</v>
      </c>
      <c r="C7" s="13" t="s">
        <v>29</v>
      </c>
      <c r="D7" s="14">
        <v>1</v>
      </c>
      <c r="E7" s="13" t="s">
        <v>30</v>
      </c>
      <c r="F7" s="21">
        <v>45</v>
      </c>
      <c r="G7" s="24">
        <f t="shared" si="0"/>
        <v>45</v>
      </c>
    </row>
    <row r="8" spans="1:7" ht="18" thickBot="1">
      <c r="A8" s="15"/>
      <c r="B8" s="12" t="s">
        <v>5</v>
      </c>
      <c r="C8" s="13" t="s">
        <v>31</v>
      </c>
      <c r="D8" s="14">
        <v>1</v>
      </c>
      <c r="E8" s="13" t="s">
        <v>19</v>
      </c>
      <c r="F8" s="21">
        <v>1</v>
      </c>
      <c r="G8" s="24">
        <f t="shared" si="0"/>
        <v>1</v>
      </c>
    </row>
    <row r="9" spans="1:7" ht="18" thickBot="1">
      <c r="A9" s="17"/>
      <c r="B9" s="17"/>
      <c r="C9" s="13" t="s">
        <v>32</v>
      </c>
      <c r="D9" s="14">
        <v>1</v>
      </c>
      <c r="E9" s="13" t="s">
        <v>33</v>
      </c>
      <c r="F9" s="21">
        <v>0</v>
      </c>
      <c r="G9" s="24">
        <f t="shared" si="0"/>
        <v>0</v>
      </c>
    </row>
    <row r="10" spans="1:7" ht="18" thickBot="1">
      <c r="A10" s="5" t="s">
        <v>34</v>
      </c>
      <c r="B10" s="6" t="s">
        <v>35</v>
      </c>
      <c r="C10" s="7" t="s">
        <v>35</v>
      </c>
      <c r="D10" s="8">
        <v>1</v>
      </c>
      <c r="E10" s="7" t="s">
        <v>36</v>
      </c>
      <c r="F10" s="20">
        <v>4</v>
      </c>
      <c r="G10" s="24">
        <f t="shared" si="0"/>
        <v>4</v>
      </c>
    </row>
    <row r="11" spans="1:7" ht="18" thickBot="1">
      <c r="A11" s="9"/>
      <c r="B11" s="6" t="s">
        <v>37</v>
      </c>
      <c r="C11" s="7" t="s">
        <v>37</v>
      </c>
      <c r="D11" s="8">
        <v>1</v>
      </c>
      <c r="E11" s="7" t="s">
        <v>38</v>
      </c>
      <c r="F11" s="20">
        <v>28</v>
      </c>
      <c r="G11" s="24">
        <f t="shared" si="0"/>
        <v>28</v>
      </c>
    </row>
    <row r="12" spans="1:7" ht="18" thickBot="1">
      <c r="A12" s="9"/>
      <c r="B12" s="5" t="s">
        <v>39</v>
      </c>
      <c r="C12" s="7" t="s">
        <v>40</v>
      </c>
      <c r="D12" s="8">
        <v>1</v>
      </c>
      <c r="E12" s="7" t="s">
        <v>41</v>
      </c>
      <c r="F12" s="20">
        <f>175+17+329</f>
        <v>521</v>
      </c>
      <c r="G12" s="24">
        <f t="shared" si="0"/>
        <v>521</v>
      </c>
    </row>
    <row r="13" spans="1:7" ht="18" thickBot="1">
      <c r="A13" s="9"/>
      <c r="B13" s="11"/>
      <c r="C13" s="7" t="s">
        <v>42</v>
      </c>
      <c r="D13" s="8">
        <v>0.5</v>
      </c>
      <c r="E13" s="7" t="s">
        <v>43</v>
      </c>
      <c r="F13" s="20">
        <v>2364</v>
      </c>
      <c r="G13" s="24">
        <f t="shared" si="0"/>
        <v>1182</v>
      </c>
    </row>
    <row r="14" spans="1:7" ht="18" thickBot="1">
      <c r="A14" s="9"/>
      <c r="B14" s="5" t="s">
        <v>4</v>
      </c>
      <c r="C14" s="7" t="s">
        <v>44</v>
      </c>
      <c r="D14" s="8">
        <v>1</v>
      </c>
      <c r="E14" s="7" t="s">
        <v>45</v>
      </c>
      <c r="F14" s="20">
        <v>523</v>
      </c>
      <c r="G14" s="24">
        <f t="shared" si="0"/>
        <v>523</v>
      </c>
    </row>
    <row r="15" spans="1:7" ht="18" thickBot="1">
      <c r="A15" s="11"/>
      <c r="B15" s="11"/>
      <c r="C15" s="7" t="s">
        <v>46</v>
      </c>
      <c r="D15" s="8">
        <v>0.5</v>
      </c>
      <c r="E15" s="7" t="s">
        <v>43</v>
      </c>
      <c r="F15" s="20">
        <v>1309</v>
      </c>
      <c r="G15" s="24">
        <f t="shared" si="0"/>
        <v>654.5</v>
      </c>
    </row>
    <row r="16" spans="1:7" ht="18" thickBot="1">
      <c r="A16" s="12" t="s">
        <v>47</v>
      </c>
      <c r="B16" s="18" t="s">
        <v>48</v>
      </c>
      <c r="C16" s="13" t="s">
        <v>49</v>
      </c>
      <c r="D16" s="14">
        <v>1</v>
      </c>
      <c r="E16" s="13" t="s">
        <v>50</v>
      </c>
      <c r="F16" s="21">
        <v>121</v>
      </c>
      <c r="G16" s="24">
        <f t="shared" si="0"/>
        <v>121</v>
      </c>
    </row>
    <row r="17" spans="1:7" ht="18" thickBot="1">
      <c r="A17" s="15"/>
      <c r="B17" s="18" t="s">
        <v>51</v>
      </c>
      <c r="C17" s="13" t="s">
        <v>52</v>
      </c>
      <c r="D17" s="14">
        <v>1</v>
      </c>
      <c r="E17" s="13" t="s">
        <v>53</v>
      </c>
      <c r="F17" s="21">
        <v>7</v>
      </c>
      <c r="G17" s="24">
        <f t="shared" si="0"/>
        <v>7</v>
      </c>
    </row>
    <row r="18" spans="1:7" ht="18" thickBot="1">
      <c r="A18" s="15"/>
      <c r="B18" s="18" t="s">
        <v>54</v>
      </c>
      <c r="C18" s="13" t="s">
        <v>55</v>
      </c>
      <c r="D18" s="14">
        <v>1</v>
      </c>
      <c r="E18" s="13" t="s">
        <v>56</v>
      </c>
      <c r="F18" s="21">
        <v>3</v>
      </c>
      <c r="G18" s="24">
        <f t="shared" si="0"/>
        <v>3</v>
      </c>
    </row>
    <row r="19" spans="1:7" ht="18" thickBot="1">
      <c r="A19" s="15"/>
      <c r="B19" s="12" t="s">
        <v>6</v>
      </c>
      <c r="C19" s="13" t="s">
        <v>57</v>
      </c>
      <c r="D19" s="14">
        <v>1</v>
      </c>
      <c r="E19" s="13" t="s">
        <v>58</v>
      </c>
      <c r="F19" s="21">
        <v>1</v>
      </c>
      <c r="G19" s="24">
        <f t="shared" si="0"/>
        <v>1</v>
      </c>
    </row>
    <row r="20" spans="1:7" ht="18" thickBot="1">
      <c r="A20" s="15"/>
      <c r="B20" s="17"/>
      <c r="C20" s="13" t="s">
        <v>59</v>
      </c>
      <c r="D20" s="16">
        <v>0.25</v>
      </c>
      <c r="E20" s="13" t="s">
        <v>60</v>
      </c>
      <c r="F20" s="21">
        <v>0</v>
      </c>
      <c r="G20" s="24">
        <f t="shared" si="0"/>
        <v>0</v>
      </c>
    </row>
    <row r="21" spans="1:7" ht="18" thickBot="1">
      <c r="A21" s="17"/>
      <c r="B21" s="18" t="s">
        <v>3</v>
      </c>
      <c r="C21" s="13" t="s">
        <v>61</v>
      </c>
      <c r="D21" s="14">
        <v>1</v>
      </c>
      <c r="E21" s="13" t="s">
        <v>62</v>
      </c>
      <c r="F21" s="21">
        <v>0</v>
      </c>
      <c r="G21" s="24">
        <f t="shared" si="0"/>
        <v>0</v>
      </c>
    </row>
    <row r="22" spans="1:7" ht="18" thickBot="1">
      <c r="A22" s="5" t="s">
        <v>63</v>
      </c>
      <c r="B22" s="5" t="s">
        <v>0</v>
      </c>
      <c r="C22" s="7" t="s">
        <v>64</v>
      </c>
      <c r="D22" s="10">
        <v>0.5</v>
      </c>
      <c r="E22" s="7" t="s">
        <v>65</v>
      </c>
      <c r="F22" s="20">
        <v>14602</v>
      </c>
      <c r="G22" s="24">
        <f t="shared" si="0"/>
        <v>7301</v>
      </c>
    </row>
    <row r="23" spans="1:7" ht="18" thickBot="1">
      <c r="A23" s="9"/>
      <c r="B23" s="11"/>
      <c r="C23" s="7" t="s">
        <v>66</v>
      </c>
      <c r="D23" s="10">
        <v>0.25</v>
      </c>
      <c r="E23" s="7" t="s">
        <v>67</v>
      </c>
      <c r="F23" s="20">
        <v>1048</v>
      </c>
      <c r="G23" s="24">
        <f t="shared" si="0"/>
        <v>262</v>
      </c>
    </row>
    <row r="24" spans="1:7" ht="18" thickBot="1">
      <c r="A24" s="9"/>
      <c r="B24" s="6" t="s">
        <v>1</v>
      </c>
      <c r="C24" s="7" t="s">
        <v>68</v>
      </c>
      <c r="D24" s="8">
        <v>1</v>
      </c>
      <c r="E24" s="7" t="s">
        <v>69</v>
      </c>
      <c r="F24" s="20">
        <v>5536</v>
      </c>
      <c r="G24" s="24">
        <f t="shared" si="0"/>
        <v>5536</v>
      </c>
    </row>
    <row r="25" spans="1:7" ht="18" thickBot="1">
      <c r="A25" s="9"/>
      <c r="B25" s="6" t="s">
        <v>2</v>
      </c>
      <c r="C25" s="7" t="s">
        <v>70</v>
      </c>
      <c r="D25" s="8">
        <v>1</v>
      </c>
      <c r="E25" s="7" t="s">
        <v>71</v>
      </c>
      <c r="F25" s="20">
        <v>8</v>
      </c>
      <c r="G25" s="24">
        <f t="shared" si="0"/>
        <v>8</v>
      </c>
    </row>
    <row r="26" spans="1:7" ht="18" thickBot="1">
      <c r="A26" s="11"/>
      <c r="B26" s="6" t="s">
        <v>72</v>
      </c>
      <c r="C26" s="7" t="s">
        <v>73</v>
      </c>
      <c r="D26" s="10">
        <v>0.25</v>
      </c>
      <c r="E26" s="7" t="s">
        <v>74</v>
      </c>
      <c r="F26" s="20">
        <v>1057</v>
      </c>
      <c r="G26" s="24">
        <f t="shared" si="0"/>
        <v>264.25</v>
      </c>
    </row>
    <row r="28" spans="1:7" ht="18" thickBot="1">
      <c r="C28" s="25" t="s">
        <v>77</v>
      </c>
      <c r="D28" s="14">
        <v>-0.5</v>
      </c>
      <c r="E28" s="13"/>
      <c r="F28" s="21"/>
      <c r="G28" s="24">
        <f t="shared" ref="G28" si="1">D28*F28</f>
        <v>0</v>
      </c>
    </row>
    <row r="31" spans="1:7">
      <c r="G31" s="24">
        <f>SUM(G2:G30)</f>
        <v>23761.4</v>
      </c>
    </row>
  </sheetData>
  <mergeCells count="11">
    <mergeCell ref="A16:A21"/>
    <mergeCell ref="B19:B20"/>
    <mergeCell ref="A22:A26"/>
    <mergeCell ref="B22:B23"/>
    <mergeCell ref="A2:A4"/>
    <mergeCell ref="A5:A9"/>
    <mergeCell ref="B5:B6"/>
    <mergeCell ref="B8:B9"/>
    <mergeCell ref="A10:A15"/>
    <mergeCell ref="B12:B13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Pedneault</dc:creator>
  <cp:lastModifiedBy>Sylvain Pedneault</cp:lastModifiedBy>
  <dcterms:created xsi:type="dcterms:W3CDTF">2026-02-02T22:09:40Z</dcterms:created>
  <dcterms:modified xsi:type="dcterms:W3CDTF">2026-03-11T21:24:16Z</dcterms:modified>
</cp:coreProperties>
</file>