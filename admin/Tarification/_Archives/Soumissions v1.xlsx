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ain/Development/migration4o/admin/"/>
    </mc:Choice>
  </mc:AlternateContent>
  <xr:revisionPtr revIDLastSave="0" documentId="13_ncr:1_{644A2981-E796-0646-8916-7591AC6AF846}" xr6:coauthVersionLast="47" xr6:coauthVersionMax="47" xr10:uidLastSave="{00000000-0000-0000-0000-000000000000}"/>
  <bookViews>
    <workbookView xWindow="3880" yWindow="500" windowWidth="29720" windowHeight="19100" xr2:uid="{95DA9C45-7881-A84A-8BA8-7F5BDDABCE18}"/>
  </bookViews>
  <sheets>
    <sheet name="Sheet1" sheetId="1" r:id="rId1"/>
  </sheets>
  <definedNames>
    <definedName name="_xlnm.Print_Area" localSheetId="0">Sheet1!$A$1:$I$50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N33" i="1"/>
  <c r="N32" i="1"/>
  <c r="N31" i="1"/>
  <c r="N30" i="1"/>
  <c r="O30" i="1" s="1"/>
  <c r="N29" i="1"/>
  <c r="N28" i="1"/>
  <c r="O28" i="1" s="1"/>
  <c r="N27" i="1"/>
  <c r="O27" i="1" s="1"/>
  <c r="N26" i="1"/>
  <c r="N25" i="1"/>
  <c r="N24" i="1"/>
  <c r="N23" i="1"/>
  <c r="N22" i="1"/>
  <c r="O22" i="1" s="1"/>
  <c r="N21" i="1"/>
  <c r="N20" i="1"/>
  <c r="O20" i="1" s="1"/>
  <c r="N19" i="1"/>
  <c r="O19" i="1" s="1"/>
  <c r="N18" i="1"/>
  <c r="N17" i="1"/>
  <c r="N16" i="1"/>
  <c r="N15" i="1"/>
  <c r="N13" i="1"/>
  <c r="N12" i="1"/>
  <c r="N10" i="1"/>
  <c r="R34" i="1"/>
  <c r="S34" i="1" s="1"/>
  <c r="R31" i="1"/>
  <c r="R28" i="1"/>
  <c r="S28" i="1" s="1"/>
  <c r="R30" i="1"/>
  <c r="S30" i="1" s="1"/>
  <c r="R23" i="1"/>
  <c r="R21" i="1"/>
  <c r="S21" i="1" s="1"/>
  <c r="R13" i="1"/>
  <c r="S13" i="1" s="1"/>
  <c r="R33" i="1"/>
  <c r="S33" i="1" s="1"/>
  <c r="R32" i="1"/>
  <c r="S32" i="1" s="1"/>
  <c r="R29" i="1"/>
  <c r="R27" i="1"/>
  <c r="S27" i="1" s="1"/>
  <c r="R26" i="1"/>
  <c r="R25" i="1"/>
  <c r="S25" i="1" s="1"/>
  <c r="R24" i="1"/>
  <c r="S24" i="1" s="1"/>
  <c r="R22" i="1"/>
  <c r="S22" i="1" s="1"/>
  <c r="R20" i="1"/>
  <c r="R19" i="1"/>
  <c r="S19" i="1" s="1"/>
  <c r="R18" i="1"/>
  <c r="R17" i="1"/>
  <c r="R16" i="1"/>
  <c r="S16" i="1" s="1"/>
  <c r="R15" i="1"/>
  <c r="S15" i="1" s="1"/>
  <c r="R12" i="1"/>
  <c r="S12" i="1" s="1"/>
  <c r="R10" i="1"/>
  <c r="I19" i="1"/>
  <c r="I20" i="1"/>
  <c r="I24" i="1"/>
  <c r="I25" i="1"/>
  <c r="I27" i="1"/>
  <c r="I29" i="1"/>
  <c r="I32" i="1"/>
  <c r="I33" i="1"/>
  <c r="I22" i="1"/>
  <c r="I10" i="1"/>
  <c r="S26" i="1"/>
  <c r="S31" i="1"/>
  <c r="S29" i="1"/>
  <c r="S23" i="1"/>
  <c r="S20" i="1"/>
  <c r="S18" i="1"/>
  <c r="S17" i="1"/>
  <c r="S14" i="1"/>
  <c r="S11" i="1"/>
  <c r="S10" i="1"/>
  <c r="I34" i="1"/>
  <c r="I31" i="1"/>
  <c r="I30" i="1"/>
  <c r="I28" i="1"/>
  <c r="I26" i="1"/>
  <c r="I23" i="1"/>
  <c r="I21" i="1"/>
  <c r="I17" i="1"/>
  <c r="I15" i="1"/>
  <c r="I14" i="1"/>
  <c r="I11" i="1"/>
  <c r="H43" i="1"/>
  <c r="I43" i="1" s="1"/>
  <c r="O34" i="1"/>
  <c r="O33" i="1"/>
  <c r="O32" i="1"/>
  <c r="O31" i="1"/>
  <c r="O29" i="1"/>
  <c r="O26" i="1"/>
  <c r="O25" i="1"/>
  <c r="O24" i="1"/>
  <c r="O23" i="1"/>
  <c r="O21" i="1"/>
  <c r="O18" i="1"/>
  <c r="O17" i="1"/>
  <c r="O16" i="1"/>
  <c r="O15" i="1"/>
  <c r="O14" i="1"/>
  <c r="O13" i="1"/>
  <c r="O12" i="1"/>
  <c r="O11" i="1"/>
  <c r="O10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48" i="1"/>
  <c r="I12" i="1"/>
  <c r="I13" i="1"/>
  <c r="I16" i="1"/>
  <c r="I18" i="1"/>
  <c r="S47" i="1" l="1"/>
  <c r="I41" i="1"/>
  <c r="L47" i="1"/>
  <c r="O47" i="1"/>
  <c r="S49" i="1" l="1"/>
  <c r="O49" i="1"/>
  <c r="I47" i="1" s="1"/>
</calcChain>
</file>

<file path=xl/sharedStrings.xml><?xml version="1.0" encoding="utf-8"?>
<sst xmlns="http://schemas.openxmlformats.org/spreadsheetml/2006/main" count="93" uniqueCount="59">
  <si>
    <t>SOUMISSION</t>
  </si>
  <si>
    <t>À L'ATTENTION DE:</t>
  </si>
  <si>
    <t>A/S Service de sécurité incendie</t>
  </si>
  <si>
    <t>Ville de Sutton</t>
  </si>
  <si>
    <t>11, rue Principale Sud</t>
  </si>
  <si>
    <t>Sutton (Québec) J0E 2K0</t>
  </si>
  <si>
    <t>Description</t>
  </si>
  <si>
    <t>Quantité</t>
  </si>
  <si>
    <t>Total</t>
  </si>
  <si>
    <t>Configurations SSI</t>
  </si>
  <si>
    <t>Rapports central</t>
  </si>
  <si>
    <t>Dossiers adresse actifs</t>
  </si>
  <si>
    <t>Dossiers adresse antérieur</t>
  </si>
  <si>
    <t>Plans d’intervention</t>
  </si>
  <si>
    <t>Documents du plan de sécurité civile</t>
  </si>
  <si>
    <t>Intervention ou simulation de sécurité civile</t>
  </si>
  <si>
    <t>Casernes</t>
  </si>
  <si>
    <t>Véhicules</t>
  </si>
  <si>
    <t>Bornes et points d’eau</t>
  </si>
  <si>
    <t>Maintenance de bornes et points d’eau</t>
  </si>
  <si>
    <t>Équipements</t>
  </si>
  <si>
    <t>Maintenance d’équipements</t>
  </si>
  <si>
    <t>Dossiers d’employés</t>
  </si>
  <si>
    <t>Équipes</t>
  </si>
  <si>
    <t>Comptes d’utilisateurs</t>
  </si>
  <si>
    <t>Configurations d’horaires</t>
  </si>
  <si>
    <t>Quarts de travail créés</t>
  </si>
  <si>
    <t>Formations offertes / suivies</t>
  </si>
  <si>
    <t>Activités de prévention</t>
  </si>
  <si>
    <t>Interventions</t>
  </si>
  <si>
    <t>Enquêtes (RCCI)</t>
  </si>
  <si>
    <t>Feuilles de temps (Autre travail)</t>
  </si>
  <si>
    <t>Extraction:</t>
  </si>
  <si>
    <t>Types d’anomalies et config. associées</t>
  </si>
  <si>
    <t>$/unité</t>
  </si>
  <si>
    <t>Crédit:</t>
  </si>
  <si>
    <t>INCLUS</t>
  </si>
  <si>
    <t>Fichier XSD présentant le schéma de données, pour valider les fichiers XML</t>
  </si>
  <si>
    <t>Outil de consultation/recherche locale, pour navigation assistée dans les données</t>
  </si>
  <si>
    <t>Pour dossiers adresse ville « Brome »</t>
  </si>
  <si>
    <t>Organisation</t>
  </si>
  <si>
    <t>Territoire</t>
  </si>
  <si>
    <t>Matériel</t>
  </si>
  <si>
    <t>Personnel</t>
  </si>
  <si>
    <t>Activités</t>
  </si>
  <si>
    <t>TOTAL:</t>
  </si>
  <si>
    <t>RÉGULIER</t>
  </si>
  <si>
    <t>SPÉCIAL</t>
  </si>
  <si>
    <t>Analyse automatisée, assemblage, nettoyage, adaptation, uniformisation, validation</t>
  </si>
  <si>
    <t>Lot de fichiers XML avec les données complètes structurées et normalisées</t>
  </si>
  <si>
    <t>SOUS-TOTAL:</t>
  </si>
  <si>
    <t>Export:</t>
  </si>
  <si>
    <r>
      <rPr>
        <b/>
        <sz val="11"/>
        <color theme="1"/>
        <rFont val="Aptos Narrow"/>
        <scheme val="minor"/>
      </rPr>
      <t>Traitement</t>
    </r>
    <r>
      <rPr>
        <sz val="11"/>
        <color theme="1"/>
        <rFont val="Aptos Narrow"/>
        <scheme val="minor"/>
      </rPr>
      <t>:</t>
    </r>
  </si>
  <si>
    <r>
      <rPr>
        <b/>
        <sz val="11"/>
        <color theme="1"/>
        <rFont val="Aptos Narrow"/>
        <scheme val="minor"/>
      </rPr>
      <t>Pour confirmer la commande</t>
    </r>
    <r>
      <rPr>
        <sz val="11"/>
        <color theme="1"/>
        <rFont val="Aptos Narrow"/>
        <scheme val="minor"/>
      </rPr>
      <t xml:space="preserve"> : SVP émettre un bon de commande au nom de : 
</t>
    </r>
    <r>
      <rPr>
        <i/>
        <sz val="11"/>
        <color theme="1"/>
        <rFont val="Aptos Narrow"/>
        <scheme val="minor"/>
      </rPr>
      <t>Sylvain Pedneault (Gestion Technologies)</t>
    </r>
    <r>
      <rPr>
        <sz val="11"/>
        <color theme="1"/>
        <rFont val="Aptos Narrow"/>
        <scheme val="minor"/>
      </rPr>
      <t>. Une facture sera présentée avec les
données extraites, et sera payable 30 jours par chèque au nom de Sylvain Pedneault.</t>
    </r>
  </si>
  <si>
    <t>Date BD PL:</t>
  </si>
  <si>
    <t>#2026-04-17-A</t>
  </si>
  <si>
    <t>Quatre (4) exports: 1=estimation/essai, 2=sûreté complète, 3=pré-migration, 4=migration finale</t>
  </si>
  <si>
    <t>SPÉCIAL 2</t>
  </si>
  <si>
    <t>Documents et pièces jointes pour toutes les activités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</si>
</sst>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sz val="16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right" wrapText="1"/>
    </xf>
    <xf numFmtId="0" fontId="2" fillId="0" borderId="0" xfId="0" applyFont="1"/>
    <xf numFmtId="0" fontId="6" fillId="0" borderId="0" xfId="0" applyFont="1"/>
    <xf numFmtId="164" fontId="6" fillId="0" borderId="0" xfId="2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64" fontId="4" fillId="0" borderId="0" xfId="0" applyNumberFormat="1" applyFont="1"/>
    <xf numFmtId="3" fontId="4" fillId="0" borderId="0" xfId="0" applyNumberFormat="1" applyFont="1"/>
    <xf numFmtId="164" fontId="8" fillId="0" borderId="0" xfId="2" applyNumberFormat="1" applyFont="1" applyAlignment="1">
      <alignment horizontal="right"/>
    </xf>
    <xf numFmtId="165" fontId="6" fillId="0" borderId="0" xfId="1" applyNumberFormat="1" applyFont="1"/>
    <xf numFmtId="0" fontId="6" fillId="0" borderId="1" xfId="0" applyFont="1" applyBorder="1"/>
    <xf numFmtId="165" fontId="6" fillId="0" borderId="1" xfId="1" applyNumberFormat="1" applyFont="1" applyBorder="1"/>
    <xf numFmtId="164" fontId="8" fillId="0" borderId="1" xfId="2" applyNumberFormat="1" applyFont="1" applyBorder="1" applyAlignment="1">
      <alignment horizontal="right"/>
    </xf>
    <xf numFmtId="164" fontId="6" fillId="0" borderId="1" xfId="2" applyNumberFormat="1" applyFont="1" applyBorder="1" applyAlignment="1">
      <alignment horizontal="right"/>
    </xf>
    <xf numFmtId="0" fontId="4" fillId="0" borderId="1" xfId="0" applyFont="1" applyBorder="1"/>
    <xf numFmtId="164" fontId="2" fillId="0" borderId="1" xfId="0" applyNumberFormat="1" applyFont="1" applyBorder="1"/>
    <xf numFmtId="164" fontId="8" fillId="3" borderId="0" xfId="2" applyNumberFormat="1" applyFont="1" applyFill="1" applyAlignment="1">
      <alignment horizontal="right"/>
    </xf>
    <xf numFmtId="0" fontId="8" fillId="0" borderId="1" xfId="0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/>
    <xf numFmtId="0" fontId="8" fillId="0" borderId="1" xfId="0" applyFont="1" applyBorder="1"/>
    <xf numFmtId="0" fontId="7" fillId="0" borderId="1" xfId="0" applyFont="1" applyBorder="1" applyAlignment="1">
      <alignment horizontal="right"/>
    </xf>
    <xf numFmtId="14" fontId="4" fillId="0" borderId="0" xfId="0" applyNumberFormat="1" applyFont="1"/>
    <xf numFmtId="164" fontId="10" fillId="0" borderId="1" xfId="0" applyNumberFormat="1" applyFont="1" applyBorder="1"/>
    <xf numFmtId="44" fontId="4" fillId="0" borderId="0" xfId="2" applyFont="1"/>
    <xf numFmtId="164" fontId="8" fillId="0" borderId="3" xfId="2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center"/>
    </xf>
    <xf numFmtId="0" fontId="6" fillId="0" borderId="0" xfId="0" applyFont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24"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9C0006"/>
      </font>
    </dxf>
    <dxf>
      <font>
        <color theme="5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9C0006"/>
      </font>
    </dxf>
    <dxf>
      <font>
        <color theme="5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360045</xdr:colOff>
      <xdr:row>1</xdr:row>
      <xdr:rowOff>245745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E006752-DC5E-D944-8519-9A7526F9C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2125345" cy="614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BCEF-0F7F-5346-982E-C6834D7A1CED}">
  <dimension ref="A1:S50"/>
  <sheetViews>
    <sheetView showGridLines="0" tabSelected="1" view="pageLayout" zoomScale="120" zoomScaleNormal="100" zoomScalePageLayoutView="120" workbookViewId="0">
      <selection activeCell="C12" sqref="C12"/>
    </sheetView>
  </sheetViews>
  <sheetFormatPr baseColWidth="10" defaultRowHeight="16" x14ac:dyDescent="0.2"/>
  <cols>
    <col min="1" max="1" width="12.33203125" style="2" customWidth="1"/>
    <col min="2" max="4" width="10.83203125" style="2"/>
    <col min="5" max="5" width="10.83203125" style="2" customWidth="1"/>
    <col min="6" max="6" width="6.6640625" style="2" customWidth="1"/>
    <col min="7" max="7" width="10.83203125" style="2" customWidth="1"/>
    <col min="8" max="8" width="9.33203125" style="2" customWidth="1"/>
    <col min="9" max="9" width="13.1640625" style="2" customWidth="1"/>
    <col min="10" max="16384" width="10.83203125" style="2"/>
  </cols>
  <sheetData>
    <row r="1" spans="1:19" ht="29" x14ac:dyDescent="0.35">
      <c r="I1" s="1" t="s">
        <v>0</v>
      </c>
    </row>
    <row r="2" spans="1:19" ht="22" x14ac:dyDescent="0.3">
      <c r="I2" s="10" t="s">
        <v>55</v>
      </c>
    </row>
    <row r="3" spans="1:19" ht="9" customHeight="1" x14ac:dyDescent="0.2">
      <c r="I3" s="6"/>
    </row>
    <row r="4" spans="1:19" ht="15" customHeight="1" x14ac:dyDescent="0.2">
      <c r="A4" s="6" t="s">
        <v>1</v>
      </c>
      <c r="C4" s="2" t="s">
        <v>2</v>
      </c>
      <c r="H4" s="9" t="s">
        <v>54</v>
      </c>
      <c r="I4" s="31">
        <v>46077</v>
      </c>
    </row>
    <row r="5" spans="1:19" ht="15" customHeight="1" x14ac:dyDescent="0.2">
      <c r="C5" s="2" t="s">
        <v>3</v>
      </c>
      <c r="R5" s="33"/>
    </row>
    <row r="6" spans="1:19" ht="15" customHeight="1" x14ac:dyDescent="0.2">
      <c r="C6" s="2" t="s">
        <v>4</v>
      </c>
    </row>
    <row r="7" spans="1:19" ht="15" customHeight="1" x14ac:dyDescent="0.2">
      <c r="C7" s="2" t="s">
        <v>5</v>
      </c>
      <c r="K7" s="2" t="s">
        <v>46</v>
      </c>
      <c r="N7" s="2" t="s">
        <v>47</v>
      </c>
      <c r="R7" s="2" t="s">
        <v>57</v>
      </c>
    </row>
    <row r="8" spans="1:19" ht="10" customHeight="1" x14ac:dyDescent="0.2"/>
    <row r="9" spans="1:19" x14ac:dyDescent="0.2">
      <c r="A9" s="3" t="s">
        <v>6</v>
      </c>
      <c r="B9" s="3"/>
      <c r="C9" s="3"/>
      <c r="D9" s="3"/>
      <c r="E9" s="3"/>
      <c r="F9" s="3"/>
      <c r="G9" s="4" t="s">
        <v>7</v>
      </c>
      <c r="H9" s="5" t="s">
        <v>34</v>
      </c>
      <c r="I9" s="4" t="s">
        <v>8</v>
      </c>
      <c r="K9" s="5" t="s">
        <v>34</v>
      </c>
      <c r="L9" s="4" t="s">
        <v>8</v>
      </c>
      <c r="N9" s="5" t="s">
        <v>34</v>
      </c>
      <c r="O9" s="4" t="s">
        <v>8</v>
      </c>
      <c r="R9" s="5" t="s">
        <v>34</v>
      </c>
      <c r="S9" s="4" t="s">
        <v>8</v>
      </c>
    </row>
    <row r="10" spans="1:19" ht="15" customHeight="1" x14ac:dyDescent="0.2">
      <c r="A10" s="36" t="s">
        <v>40</v>
      </c>
      <c r="B10" s="23" t="s">
        <v>32</v>
      </c>
      <c r="C10" s="7" t="s">
        <v>9</v>
      </c>
      <c r="D10" s="7"/>
      <c r="E10" s="7"/>
      <c r="F10" s="7"/>
      <c r="G10" s="14">
        <v>1</v>
      </c>
      <c r="H10" s="13">
        <v>0.5</v>
      </c>
      <c r="I10" s="8">
        <f>G10*H10</f>
        <v>0.5</v>
      </c>
      <c r="K10" s="13">
        <v>1</v>
      </c>
      <c r="L10" s="8">
        <f>$G10*K10</f>
        <v>1</v>
      </c>
      <c r="N10" s="13">
        <f>N$37</f>
        <v>1</v>
      </c>
      <c r="O10" s="8">
        <f>$G10*N10</f>
        <v>1</v>
      </c>
      <c r="R10" s="13">
        <f>R$37</f>
        <v>0.5</v>
      </c>
      <c r="S10" s="8">
        <f>$G10*R10</f>
        <v>0.5</v>
      </c>
    </row>
    <row r="11" spans="1:19" ht="15" customHeight="1" x14ac:dyDescent="0.2">
      <c r="A11" s="36"/>
      <c r="B11" s="23" t="s">
        <v>32</v>
      </c>
      <c r="C11" s="7" t="s">
        <v>58</v>
      </c>
      <c r="D11" s="7"/>
      <c r="E11" s="7"/>
      <c r="F11" s="7"/>
      <c r="G11" s="14">
        <v>66129</v>
      </c>
      <c r="H11" s="13">
        <v>0.05</v>
      </c>
      <c r="I11" s="8">
        <f t="shared" ref="I11:I34" si="0">G11*H11</f>
        <v>3306.4500000000003</v>
      </c>
      <c r="K11" s="13">
        <v>0.05</v>
      </c>
      <c r="L11" s="8">
        <f t="shared" ref="L11:L34" si="1">$G11*K11</f>
        <v>3306.4500000000003</v>
      </c>
      <c r="N11" s="13">
        <v>0.05</v>
      </c>
      <c r="O11" s="8">
        <f t="shared" ref="O11:O34" si="2">$G11*N11</f>
        <v>3306.4500000000003</v>
      </c>
      <c r="R11" s="13">
        <v>0.05</v>
      </c>
      <c r="S11" s="8">
        <f t="shared" ref="S11:S34" si="3">$G11*R11</f>
        <v>3306.4500000000003</v>
      </c>
    </row>
    <row r="12" spans="1:19" ht="15" customHeight="1" x14ac:dyDescent="0.2">
      <c r="A12" s="37"/>
      <c r="B12" s="23" t="s">
        <v>32</v>
      </c>
      <c r="C12" s="7" t="s">
        <v>10</v>
      </c>
      <c r="D12" s="7"/>
      <c r="E12" s="7"/>
      <c r="F12" s="7"/>
      <c r="G12" s="14">
        <v>2</v>
      </c>
      <c r="H12" s="13">
        <v>0.5</v>
      </c>
      <c r="I12" s="8">
        <f t="shared" si="0"/>
        <v>1</v>
      </c>
      <c r="K12" s="13">
        <v>1</v>
      </c>
      <c r="L12" s="8">
        <f t="shared" si="1"/>
        <v>2</v>
      </c>
      <c r="N12" s="13">
        <f>N$37</f>
        <v>1</v>
      </c>
      <c r="O12" s="8">
        <f t="shared" si="2"/>
        <v>2</v>
      </c>
      <c r="R12" s="13">
        <f>R$37</f>
        <v>0.5</v>
      </c>
      <c r="S12" s="8">
        <f t="shared" si="3"/>
        <v>1</v>
      </c>
    </row>
    <row r="13" spans="1:19" ht="15" customHeight="1" x14ac:dyDescent="0.2">
      <c r="A13" s="38" t="s">
        <v>41</v>
      </c>
      <c r="B13" s="29" t="s">
        <v>32</v>
      </c>
      <c r="C13" s="15" t="s">
        <v>11</v>
      </c>
      <c r="D13" s="15"/>
      <c r="E13" s="15"/>
      <c r="F13" s="15"/>
      <c r="G13" s="16">
        <v>6266</v>
      </c>
      <c r="H13" s="17">
        <v>0.3</v>
      </c>
      <c r="I13" s="18">
        <f t="shared" si="0"/>
        <v>1879.8</v>
      </c>
      <c r="K13" s="17">
        <v>1</v>
      </c>
      <c r="L13" s="8">
        <f t="shared" si="1"/>
        <v>6266</v>
      </c>
      <c r="N13" s="17">
        <f>N$38</f>
        <v>0.5</v>
      </c>
      <c r="O13" s="8">
        <f t="shared" si="2"/>
        <v>3133</v>
      </c>
      <c r="R13" s="17">
        <f>R$38</f>
        <v>0.3</v>
      </c>
      <c r="S13" s="8">
        <f t="shared" si="3"/>
        <v>1879.8</v>
      </c>
    </row>
    <row r="14" spans="1:19" ht="15" customHeight="1" x14ac:dyDescent="0.2">
      <c r="A14" s="36"/>
      <c r="B14" s="23" t="s">
        <v>32</v>
      </c>
      <c r="C14" s="7" t="s">
        <v>12</v>
      </c>
      <c r="D14" s="7"/>
      <c r="E14" s="7"/>
      <c r="F14" s="7"/>
      <c r="G14" s="14">
        <v>14179</v>
      </c>
      <c r="H14" s="13">
        <v>0.05</v>
      </c>
      <c r="I14" s="8">
        <f t="shared" si="0"/>
        <v>708.95</v>
      </c>
      <c r="K14" s="13">
        <v>0.05</v>
      </c>
      <c r="L14" s="8">
        <f t="shared" si="1"/>
        <v>708.95</v>
      </c>
      <c r="N14" s="13">
        <v>0.05</v>
      </c>
      <c r="O14" s="8">
        <f t="shared" si="2"/>
        <v>708.95</v>
      </c>
      <c r="R14" s="13">
        <v>0.05</v>
      </c>
      <c r="S14" s="8">
        <f t="shared" si="3"/>
        <v>708.95</v>
      </c>
    </row>
    <row r="15" spans="1:19" ht="15" customHeight="1" x14ac:dyDescent="0.2">
      <c r="A15" s="36"/>
      <c r="B15" s="23" t="s">
        <v>32</v>
      </c>
      <c r="C15" s="7" t="s">
        <v>13</v>
      </c>
      <c r="D15" s="7"/>
      <c r="E15" s="7"/>
      <c r="F15" s="7"/>
      <c r="G15" s="14">
        <v>46</v>
      </c>
      <c r="H15" s="13">
        <v>0.5</v>
      </c>
      <c r="I15" s="8">
        <f t="shared" si="0"/>
        <v>23</v>
      </c>
      <c r="K15" s="13">
        <v>1</v>
      </c>
      <c r="L15" s="8">
        <f t="shared" si="1"/>
        <v>46</v>
      </c>
      <c r="N15" s="13">
        <f t="shared" ref="N15:N20" si="4">N$37</f>
        <v>1</v>
      </c>
      <c r="O15" s="8">
        <f t="shared" si="2"/>
        <v>46</v>
      </c>
      <c r="R15" s="13">
        <f t="shared" ref="R15:R20" si="5">R$37</f>
        <v>0.5</v>
      </c>
      <c r="S15" s="8">
        <f t="shared" si="3"/>
        <v>23</v>
      </c>
    </row>
    <row r="16" spans="1:19" ht="15" customHeight="1" x14ac:dyDescent="0.2">
      <c r="A16" s="36"/>
      <c r="B16" s="23" t="s">
        <v>32</v>
      </c>
      <c r="C16" s="7" t="s">
        <v>14</v>
      </c>
      <c r="D16" s="7"/>
      <c r="E16" s="7"/>
      <c r="F16" s="7"/>
      <c r="G16" s="14">
        <v>1</v>
      </c>
      <c r="H16" s="13">
        <v>0.5</v>
      </c>
      <c r="I16" s="8">
        <f t="shared" si="0"/>
        <v>0.5</v>
      </c>
      <c r="K16" s="13">
        <v>1</v>
      </c>
      <c r="L16" s="8">
        <f t="shared" si="1"/>
        <v>1</v>
      </c>
      <c r="N16" s="13">
        <f t="shared" si="4"/>
        <v>1</v>
      </c>
      <c r="O16" s="8">
        <f t="shared" si="2"/>
        <v>1</v>
      </c>
      <c r="R16" s="13">
        <f t="shared" si="5"/>
        <v>0.5</v>
      </c>
      <c r="S16" s="8">
        <f t="shared" si="3"/>
        <v>0.5</v>
      </c>
    </row>
    <row r="17" spans="1:19" ht="15" customHeight="1" x14ac:dyDescent="0.2">
      <c r="A17" s="37"/>
      <c r="B17" s="23" t="s">
        <v>32</v>
      </c>
      <c r="C17" s="7" t="s">
        <v>15</v>
      </c>
      <c r="D17" s="7"/>
      <c r="E17" s="7"/>
      <c r="F17" s="7"/>
      <c r="G17" s="14">
        <v>0</v>
      </c>
      <c r="H17" s="13">
        <v>0.5</v>
      </c>
      <c r="I17" s="8">
        <f t="shared" si="0"/>
        <v>0</v>
      </c>
      <c r="K17" s="13">
        <v>1</v>
      </c>
      <c r="L17" s="8">
        <f t="shared" si="1"/>
        <v>0</v>
      </c>
      <c r="N17" s="13">
        <f t="shared" si="4"/>
        <v>1</v>
      </c>
      <c r="O17" s="8">
        <f t="shared" si="2"/>
        <v>0</v>
      </c>
      <c r="R17" s="13">
        <f t="shared" si="5"/>
        <v>0.5</v>
      </c>
      <c r="S17" s="8">
        <f t="shared" si="3"/>
        <v>0</v>
      </c>
    </row>
    <row r="18" spans="1:19" ht="15" customHeight="1" x14ac:dyDescent="0.2">
      <c r="A18" s="38" t="s">
        <v>42</v>
      </c>
      <c r="B18" s="29" t="s">
        <v>32</v>
      </c>
      <c r="C18" s="15" t="s">
        <v>16</v>
      </c>
      <c r="D18" s="15"/>
      <c r="E18" s="15"/>
      <c r="F18" s="15"/>
      <c r="G18" s="16">
        <v>4</v>
      </c>
      <c r="H18" s="17">
        <v>0.5</v>
      </c>
      <c r="I18" s="18">
        <f t="shared" si="0"/>
        <v>2</v>
      </c>
      <c r="K18" s="17">
        <v>1</v>
      </c>
      <c r="L18" s="8">
        <f t="shared" si="1"/>
        <v>4</v>
      </c>
      <c r="N18" s="17">
        <f t="shared" si="4"/>
        <v>1</v>
      </c>
      <c r="O18" s="8">
        <f t="shared" si="2"/>
        <v>4</v>
      </c>
      <c r="R18" s="17">
        <f t="shared" si="5"/>
        <v>0.5</v>
      </c>
      <c r="S18" s="8">
        <f t="shared" si="3"/>
        <v>2</v>
      </c>
    </row>
    <row r="19" spans="1:19" ht="15" customHeight="1" x14ac:dyDescent="0.2">
      <c r="A19" s="36"/>
      <c r="B19" s="23" t="s">
        <v>32</v>
      </c>
      <c r="C19" s="7" t="s">
        <v>17</v>
      </c>
      <c r="D19" s="7"/>
      <c r="E19" s="7"/>
      <c r="F19" s="7"/>
      <c r="G19" s="14">
        <v>28</v>
      </c>
      <c r="H19" s="13">
        <v>0.5</v>
      </c>
      <c r="I19" s="8">
        <f t="shared" si="0"/>
        <v>14</v>
      </c>
      <c r="K19" s="13">
        <v>1</v>
      </c>
      <c r="L19" s="8">
        <f t="shared" si="1"/>
        <v>28</v>
      </c>
      <c r="N19" s="13">
        <f t="shared" si="4"/>
        <v>1</v>
      </c>
      <c r="O19" s="8">
        <f t="shared" si="2"/>
        <v>28</v>
      </c>
      <c r="R19" s="13">
        <f t="shared" si="5"/>
        <v>0.5</v>
      </c>
      <c r="S19" s="8">
        <f t="shared" si="3"/>
        <v>14</v>
      </c>
    </row>
    <row r="20" spans="1:19" ht="15" customHeight="1" x14ac:dyDescent="0.2">
      <c r="A20" s="36"/>
      <c r="B20" s="23" t="s">
        <v>32</v>
      </c>
      <c r="C20" s="7" t="s">
        <v>18</v>
      </c>
      <c r="D20" s="7"/>
      <c r="E20" s="7"/>
      <c r="F20" s="7"/>
      <c r="G20" s="14">
        <v>523</v>
      </c>
      <c r="H20" s="13">
        <v>0.5</v>
      </c>
      <c r="I20" s="8">
        <f t="shared" si="0"/>
        <v>261.5</v>
      </c>
      <c r="K20" s="13">
        <v>1</v>
      </c>
      <c r="L20" s="8">
        <f t="shared" si="1"/>
        <v>523</v>
      </c>
      <c r="N20" s="13">
        <f t="shared" si="4"/>
        <v>1</v>
      </c>
      <c r="O20" s="8">
        <f t="shared" si="2"/>
        <v>523</v>
      </c>
      <c r="R20" s="13">
        <f t="shared" si="5"/>
        <v>0.5</v>
      </c>
      <c r="S20" s="8">
        <f t="shared" si="3"/>
        <v>261.5</v>
      </c>
    </row>
    <row r="21" spans="1:19" ht="15" customHeight="1" x14ac:dyDescent="0.2">
      <c r="A21" s="36"/>
      <c r="B21" s="23" t="s">
        <v>32</v>
      </c>
      <c r="C21" s="7" t="s">
        <v>19</v>
      </c>
      <c r="D21" s="7"/>
      <c r="E21" s="7"/>
      <c r="F21" s="7"/>
      <c r="G21" s="14">
        <v>2556</v>
      </c>
      <c r="H21" s="13">
        <v>0.3</v>
      </c>
      <c r="I21" s="8">
        <f t="shared" si="0"/>
        <v>766.8</v>
      </c>
      <c r="K21" s="13">
        <v>1</v>
      </c>
      <c r="L21" s="8">
        <f t="shared" si="1"/>
        <v>2556</v>
      </c>
      <c r="N21" s="13">
        <f>N$38</f>
        <v>0.5</v>
      </c>
      <c r="O21" s="8">
        <f t="shared" si="2"/>
        <v>1278</v>
      </c>
      <c r="R21" s="13">
        <f>R$38</f>
        <v>0.3</v>
      </c>
      <c r="S21" s="8">
        <f t="shared" si="3"/>
        <v>766.8</v>
      </c>
    </row>
    <row r="22" spans="1:19" ht="15" customHeight="1" x14ac:dyDescent="0.2">
      <c r="A22" s="36"/>
      <c r="B22" s="23" t="s">
        <v>32</v>
      </c>
      <c r="C22" s="7" t="s">
        <v>20</v>
      </c>
      <c r="D22" s="7"/>
      <c r="E22" s="7"/>
      <c r="F22" s="7"/>
      <c r="G22" s="14">
        <v>523</v>
      </c>
      <c r="H22" s="13">
        <v>0.5</v>
      </c>
      <c r="I22" s="8">
        <f t="shared" si="0"/>
        <v>261.5</v>
      </c>
      <c r="K22" s="13">
        <v>1</v>
      </c>
      <c r="L22" s="8">
        <f t="shared" si="1"/>
        <v>523</v>
      </c>
      <c r="N22" s="13">
        <f>N$37</f>
        <v>1</v>
      </c>
      <c r="O22" s="8">
        <f t="shared" si="2"/>
        <v>523</v>
      </c>
      <c r="R22" s="13">
        <f>R$37</f>
        <v>0.5</v>
      </c>
      <c r="S22" s="8">
        <f t="shared" si="3"/>
        <v>261.5</v>
      </c>
    </row>
    <row r="23" spans="1:19" ht="15" customHeight="1" x14ac:dyDescent="0.2">
      <c r="A23" s="37"/>
      <c r="B23" s="23" t="s">
        <v>32</v>
      </c>
      <c r="C23" s="7" t="s">
        <v>21</v>
      </c>
      <c r="D23" s="7"/>
      <c r="E23" s="7"/>
      <c r="F23" s="7"/>
      <c r="G23" s="14">
        <v>1309</v>
      </c>
      <c r="H23" s="13">
        <v>0.3</v>
      </c>
      <c r="I23" s="8">
        <f t="shared" si="0"/>
        <v>392.7</v>
      </c>
      <c r="K23" s="13">
        <v>1</v>
      </c>
      <c r="L23" s="8">
        <f t="shared" si="1"/>
        <v>1309</v>
      </c>
      <c r="N23" s="13">
        <f>N$38</f>
        <v>0.5</v>
      </c>
      <c r="O23" s="8">
        <f t="shared" si="2"/>
        <v>654.5</v>
      </c>
      <c r="R23" s="13">
        <f>R$38</f>
        <v>0.3</v>
      </c>
      <c r="S23" s="8">
        <f t="shared" si="3"/>
        <v>392.7</v>
      </c>
    </row>
    <row r="24" spans="1:19" ht="15" customHeight="1" x14ac:dyDescent="0.2">
      <c r="A24" s="38" t="s">
        <v>43</v>
      </c>
      <c r="B24" s="29" t="s">
        <v>32</v>
      </c>
      <c r="C24" s="15" t="s">
        <v>22</v>
      </c>
      <c r="D24" s="15"/>
      <c r="E24" s="15"/>
      <c r="F24" s="15"/>
      <c r="G24" s="16">
        <v>121</v>
      </c>
      <c r="H24" s="17">
        <v>0.5</v>
      </c>
      <c r="I24" s="18">
        <f t="shared" si="0"/>
        <v>60.5</v>
      </c>
      <c r="K24" s="17">
        <v>1</v>
      </c>
      <c r="L24" s="8">
        <f t="shared" si="1"/>
        <v>121</v>
      </c>
      <c r="N24" s="17">
        <f>N$37</f>
        <v>1</v>
      </c>
      <c r="O24" s="8">
        <f t="shared" si="2"/>
        <v>121</v>
      </c>
      <c r="R24" s="17">
        <f>R$37</f>
        <v>0.5</v>
      </c>
      <c r="S24" s="8">
        <f t="shared" si="3"/>
        <v>60.5</v>
      </c>
    </row>
    <row r="25" spans="1:19" ht="15" customHeight="1" x14ac:dyDescent="0.2">
      <c r="A25" s="36"/>
      <c r="B25" s="23" t="s">
        <v>32</v>
      </c>
      <c r="C25" s="7" t="s">
        <v>23</v>
      </c>
      <c r="D25" s="7"/>
      <c r="E25" s="7"/>
      <c r="F25" s="7"/>
      <c r="G25" s="14">
        <v>7</v>
      </c>
      <c r="H25" s="13">
        <v>0.5</v>
      </c>
      <c r="I25" s="8">
        <f t="shared" si="0"/>
        <v>3.5</v>
      </c>
      <c r="K25" s="13">
        <v>1</v>
      </c>
      <c r="L25" s="8">
        <f t="shared" si="1"/>
        <v>7</v>
      </c>
      <c r="N25" s="13">
        <f>N$37</f>
        <v>1</v>
      </c>
      <c r="O25" s="8">
        <f t="shared" si="2"/>
        <v>7</v>
      </c>
      <c r="R25" s="13">
        <f>R$37</f>
        <v>0.5</v>
      </c>
      <c r="S25" s="8">
        <f t="shared" si="3"/>
        <v>3.5</v>
      </c>
    </row>
    <row r="26" spans="1:19" ht="15" customHeight="1" x14ac:dyDescent="0.2">
      <c r="A26" s="36"/>
      <c r="B26" s="23" t="s">
        <v>32</v>
      </c>
      <c r="C26" s="7" t="s">
        <v>24</v>
      </c>
      <c r="D26" s="7"/>
      <c r="E26" s="7"/>
      <c r="F26" s="7"/>
      <c r="G26" s="14">
        <v>3</v>
      </c>
      <c r="H26" s="13">
        <v>0.5</v>
      </c>
      <c r="I26" s="8">
        <f t="shared" si="0"/>
        <v>1.5</v>
      </c>
      <c r="K26" s="13">
        <v>1</v>
      </c>
      <c r="L26" s="8">
        <f t="shared" si="1"/>
        <v>3</v>
      </c>
      <c r="N26" s="13">
        <f>N$37</f>
        <v>1</v>
      </c>
      <c r="O26" s="8">
        <f t="shared" si="2"/>
        <v>3</v>
      </c>
      <c r="R26" s="13">
        <f>R$37</f>
        <v>0.5</v>
      </c>
      <c r="S26" s="8">
        <f t="shared" si="3"/>
        <v>1.5</v>
      </c>
    </row>
    <row r="27" spans="1:19" ht="15" customHeight="1" x14ac:dyDescent="0.2">
      <c r="A27" s="36"/>
      <c r="B27" s="23" t="s">
        <v>32</v>
      </c>
      <c r="C27" s="7" t="s">
        <v>25</v>
      </c>
      <c r="D27" s="7"/>
      <c r="E27" s="7"/>
      <c r="F27" s="7"/>
      <c r="G27" s="14">
        <v>1</v>
      </c>
      <c r="H27" s="13">
        <v>0.5</v>
      </c>
      <c r="I27" s="8">
        <f t="shared" si="0"/>
        <v>0.5</v>
      </c>
      <c r="K27" s="13">
        <v>1</v>
      </c>
      <c r="L27" s="8">
        <f t="shared" si="1"/>
        <v>1</v>
      </c>
      <c r="N27" s="13">
        <f>N$37</f>
        <v>1</v>
      </c>
      <c r="O27" s="8">
        <f t="shared" si="2"/>
        <v>1</v>
      </c>
      <c r="R27" s="13">
        <f>R$37</f>
        <v>0.5</v>
      </c>
      <c r="S27" s="8">
        <f t="shared" si="3"/>
        <v>0.5</v>
      </c>
    </row>
    <row r="28" spans="1:19" ht="15" customHeight="1" x14ac:dyDescent="0.2">
      <c r="A28" s="36"/>
      <c r="B28" s="23" t="s">
        <v>32</v>
      </c>
      <c r="C28" s="7" t="s">
        <v>26</v>
      </c>
      <c r="D28" s="7"/>
      <c r="E28" s="7"/>
      <c r="F28" s="7"/>
      <c r="G28" s="14">
        <v>0</v>
      </c>
      <c r="H28" s="13">
        <v>0.1</v>
      </c>
      <c r="I28" s="8">
        <f t="shared" si="0"/>
        <v>0</v>
      </c>
      <c r="K28" s="13">
        <v>0.25</v>
      </c>
      <c r="L28" s="8">
        <f t="shared" si="1"/>
        <v>0</v>
      </c>
      <c r="N28" s="13">
        <f>N$39</f>
        <v>0.25</v>
      </c>
      <c r="O28" s="8">
        <f t="shared" si="2"/>
        <v>0</v>
      </c>
      <c r="R28" s="13">
        <f>R$39</f>
        <v>0.1</v>
      </c>
      <c r="S28" s="8">
        <f t="shared" si="3"/>
        <v>0</v>
      </c>
    </row>
    <row r="29" spans="1:19" ht="15" customHeight="1" x14ac:dyDescent="0.2">
      <c r="A29" s="37"/>
      <c r="B29" s="23" t="s">
        <v>32</v>
      </c>
      <c r="C29" s="7" t="s">
        <v>27</v>
      </c>
      <c r="D29" s="7"/>
      <c r="E29" s="7"/>
      <c r="F29" s="7"/>
      <c r="G29" s="14">
        <v>0</v>
      </c>
      <c r="H29" s="13">
        <v>0.5</v>
      </c>
      <c r="I29" s="8">
        <f t="shared" si="0"/>
        <v>0</v>
      </c>
      <c r="K29" s="13">
        <v>1</v>
      </c>
      <c r="L29" s="8">
        <f t="shared" si="1"/>
        <v>0</v>
      </c>
      <c r="N29" s="13">
        <f>N$37</f>
        <v>1</v>
      </c>
      <c r="O29" s="8">
        <f t="shared" si="2"/>
        <v>0</v>
      </c>
      <c r="R29" s="13">
        <f>R$37</f>
        <v>0.5</v>
      </c>
      <c r="S29" s="8">
        <f t="shared" si="3"/>
        <v>0</v>
      </c>
    </row>
    <row r="30" spans="1:19" ht="15" customHeight="1" x14ac:dyDescent="0.2">
      <c r="A30" s="38" t="s">
        <v>44</v>
      </c>
      <c r="B30" s="29" t="s">
        <v>32</v>
      </c>
      <c r="C30" s="15" t="s">
        <v>28</v>
      </c>
      <c r="D30" s="15"/>
      <c r="E30" s="15"/>
      <c r="F30" s="15"/>
      <c r="G30" s="16">
        <v>14590</v>
      </c>
      <c r="H30" s="17">
        <v>0.3</v>
      </c>
      <c r="I30" s="18">
        <f t="shared" si="0"/>
        <v>4377</v>
      </c>
      <c r="K30" s="17">
        <v>1</v>
      </c>
      <c r="L30" s="8">
        <f t="shared" si="1"/>
        <v>14590</v>
      </c>
      <c r="N30" s="17">
        <f>N$38</f>
        <v>0.5</v>
      </c>
      <c r="O30" s="8">
        <f t="shared" si="2"/>
        <v>7295</v>
      </c>
      <c r="R30" s="17">
        <f>R$38</f>
        <v>0.3</v>
      </c>
      <c r="S30" s="8">
        <f t="shared" si="3"/>
        <v>4377</v>
      </c>
    </row>
    <row r="31" spans="1:19" ht="15" customHeight="1" x14ac:dyDescent="0.2">
      <c r="A31" s="39"/>
      <c r="B31" s="23" t="s">
        <v>32</v>
      </c>
      <c r="C31" s="7" t="s">
        <v>33</v>
      </c>
      <c r="D31" s="7"/>
      <c r="E31" s="7"/>
      <c r="F31" s="7"/>
      <c r="G31" s="14">
        <v>1048</v>
      </c>
      <c r="H31" s="13">
        <v>0.1</v>
      </c>
      <c r="I31" s="8">
        <f t="shared" si="0"/>
        <v>104.80000000000001</v>
      </c>
      <c r="K31" s="13">
        <v>0.25</v>
      </c>
      <c r="L31" s="8">
        <f t="shared" si="1"/>
        <v>262</v>
      </c>
      <c r="N31" s="13">
        <f>N$39</f>
        <v>0.25</v>
      </c>
      <c r="O31" s="8">
        <f t="shared" si="2"/>
        <v>262</v>
      </c>
      <c r="R31" s="13">
        <f>R$39</f>
        <v>0.1</v>
      </c>
      <c r="S31" s="8">
        <f t="shared" si="3"/>
        <v>104.80000000000001</v>
      </c>
    </row>
    <row r="32" spans="1:19" ht="15" customHeight="1" x14ac:dyDescent="0.2">
      <c r="A32" s="39"/>
      <c r="B32" s="23" t="s">
        <v>32</v>
      </c>
      <c r="C32" s="7" t="s">
        <v>29</v>
      </c>
      <c r="D32" s="7"/>
      <c r="E32" s="7"/>
      <c r="F32" s="7"/>
      <c r="G32" s="14">
        <v>5619</v>
      </c>
      <c r="H32" s="13">
        <v>0.5</v>
      </c>
      <c r="I32" s="8">
        <f t="shared" si="0"/>
        <v>2809.5</v>
      </c>
      <c r="K32" s="13">
        <v>1</v>
      </c>
      <c r="L32" s="8">
        <f t="shared" si="1"/>
        <v>5619</v>
      </c>
      <c r="N32" s="13">
        <f>N$37</f>
        <v>1</v>
      </c>
      <c r="O32" s="8">
        <f t="shared" si="2"/>
        <v>5619</v>
      </c>
      <c r="R32" s="13">
        <f>R$37</f>
        <v>0.5</v>
      </c>
      <c r="S32" s="8">
        <f t="shared" si="3"/>
        <v>2809.5</v>
      </c>
    </row>
    <row r="33" spans="1:19" ht="15" customHeight="1" x14ac:dyDescent="0.2">
      <c r="A33" s="39"/>
      <c r="B33" s="23" t="s">
        <v>32</v>
      </c>
      <c r="C33" s="7" t="s">
        <v>30</v>
      </c>
      <c r="D33" s="7"/>
      <c r="E33" s="7"/>
      <c r="F33" s="7"/>
      <c r="G33" s="14">
        <v>8</v>
      </c>
      <c r="H33" s="13">
        <v>0.5</v>
      </c>
      <c r="I33" s="8">
        <f t="shared" si="0"/>
        <v>4</v>
      </c>
      <c r="K33" s="13">
        <v>1</v>
      </c>
      <c r="L33" s="8">
        <f t="shared" si="1"/>
        <v>8</v>
      </c>
      <c r="N33" s="13">
        <f>N$37</f>
        <v>1</v>
      </c>
      <c r="O33" s="8">
        <f t="shared" si="2"/>
        <v>8</v>
      </c>
      <c r="R33" s="13">
        <f>R$37</f>
        <v>0.5</v>
      </c>
      <c r="S33" s="8">
        <f t="shared" si="3"/>
        <v>4</v>
      </c>
    </row>
    <row r="34" spans="1:19" ht="15" customHeight="1" x14ac:dyDescent="0.2">
      <c r="A34" s="39"/>
      <c r="B34" s="23" t="s">
        <v>32</v>
      </c>
      <c r="C34" s="7" t="s">
        <v>31</v>
      </c>
      <c r="D34" s="7"/>
      <c r="E34" s="7"/>
      <c r="F34" s="7"/>
      <c r="G34" s="14">
        <v>1070</v>
      </c>
      <c r="H34" s="13">
        <v>0.1</v>
      </c>
      <c r="I34" s="8">
        <f t="shared" si="0"/>
        <v>107</v>
      </c>
      <c r="K34" s="13">
        <v>0.25</v>
      </c>
      <c r="L34" s="8">
        <f t="shared" si="1"/>
        <v>267.5</v>
      </c>
      <c r="N34" s="13">
        <f>N$39</f>
        <v>0.25</v>
      </c>
      <c r="O34" s="8">
        <f t="shared" si="2"/>
        <v>267.5</v>
      </c>
      <c r="R34" s="13">
        <f>R$39</f>
        <v>0.1</v>
      </c>
      <c r="S34" s="8">
        <f t="shared" si="3"/>
        <v>107</v>
      </c>
    </row>
    <row r="35" spans="1:19" ht="15" customHeight="1" x14ac:dyDescent="0.2"/>
    <row r="36" spans="1:19" ht="15" customHeight="1" x14ac:dyDescent="0.2">
      <c r="A36" s="15" t="s">
        <v>52</v>
      </c>
      <c r="B36" s="15" t="s">
        <v>48</v>
      </c>
      <c r="C36" s="15"/>
      <c r="D36" s="15"/>
      <c r="E36" s="15"/>
      <c r="F36" s="15"/>
      <c r="G36" s="15"/>
      <c r="H36" s="15"/>
      <c r="I36" s="22" t="s">
        <v>36</v>
      </c>
    </row>
    <row r="37" spans="1:19" ht="15" customHeight="1" x14ac:dyDescent="0.2">
      <c r="A37" s="23"/>
      <c r="B37" s="7" t="s">
        <v>56</v>
      </c>
      <c r="C37" s="7"/>
      <c r="D37" s="7"/>
      <c r="E37" s="7"/>
      <c r="F37" s="7"/>
      <c r="G37" s="7"/>
      <c r="H37" s="7"/>
      <c r="I37" s="24" t="s">
        <v>36</v>
      </c>
      <c r="N37" s="33">
        <v>1</v>
      </c>
      <c r="R37" s="33">
        <v>0.5</v>
      </c>
    </row>
    <row r="38" spans="1:19" ht="15" customHeight="1" x14ac:dyDescent="0.2">
      <c r="A38" s="23" t="s">
        <v>51</v>
      </c>
      <c r="B38" s="7" t="s">
        <v>49</v>
      </c>
      <c r="C38" s="7"/>
      <c r="D38" s="7"/>
      <c r="E38" s="7"/>
      <c r="F38" s="7"/>
      <c r="G38" s="7"/>
      <c r="H38" s="7"/>
      <c r="I38" s="24" t="s">
        <v>36</v>
      </c>
      <c r="N38" s="33">
        <v>0.5</v>
      </c>
      <c r="R38" s="33">
        <v>0.3</v>
      </c>
    </row>
    <row r="39" spans="1:19" ht="15" customHeight="1" x14ac:dyDescent="0.2">
      <c r="A39" s="23"/>
      <c r="B39" s="7" t="s">
        <v>37</v>
      </c>
      <c r="C39" s="7"/>
      <c r="D39" s="7"/>
      <c r="E39" s="7"/>
      <c r="F39" s="7"/>
      <c r="G39" s="7"/>
      <c r="H39" s="7"/>
      <c r="I39" s="24" t="s">
        <v>36</v>
      </c>
      <c r="N39" s="33">
        <v>0.25</v>
      </c>
      <c r="R39" s="33">
        <v>0.1</v>
      </c>
    </row>
    <row r="40" spans="1:19" ht="15" customHeight="1" x14ac:dyDescent="0.2">
      <c r="A40" s="23"/>
      <c r="B40" s="7" t="s">
        <v>38</v>
      </c>
      <c r="C40" s="7"/>
      <c r="D40" s="7"/>
      <c r="E40" s="7"/>
      <c r="F40" s="7"/>
      <c r="G40" s="7"/>
      <c r="H40" s="7"/>
      <c r="I40" s="24" t="s">
        <v>36</v>
      </c>
    </row>
    <row r="41" spans="1:19" ht="15" customHeight="1" x14ac:dyDescent="0.2">
      <c r="A41" s="19"/>
      <c r="B41" s="19"/>
      <c r="C41" s="19"/>
      <c r="D41" s="19"/>
      <c r="E41" s="19"/>
      <c r="F41" s="19"/>
      <c r="G41" s="19"/>
      <c r="H41" s="27" t="s">
        <v>50</v>
      </c>
      <c r="I41" s="28">
        <f>SUM(I10:I39)</f>
        <v>15087</v>
      </c>
    </row>
    <row r="42" spans="1:19" ht="15" customHeight="1" x14ac:dyDescent="0.2"/>
    <row r="43" spans="1:19" ht="15" customHeight="1" x14ac:dyDescent="0.2">
      <c r="A43" s="23" t="s">
        <v>35</v>
      </c>
      <c r="B43" s="7" t="s">
        <v>39</v>
      </c>
      <c r="C43" s="7"/>
      <c r="D43" s="7"/>
      <c r="E43" s="7"/>
      <c r="F43" s="7"/>
      <c r="G43" s="7">
        <v>272</v>
      </c>
      <c r="H43" s="8">
        <f>-N13</f>
        <v>-0.5</v>
      </c>
      <c r="I43" s="21">
        <f t="shared" ref="I43" si="6">G43*H43</f>
        <v>-136</v>
      </c>
      <c r="K43" s="12"/>
    </row>
    <row r="44" spans="1:19" ht="32" customHeight="1" x14ac:dyDescent="0.2">
      <c r="A44" s="26"/>
      <c r="B44" s="40"/>
      <c r="C44" s="40"/>
      <c r="D44" s="40"/>
      <c r="E44" s="40"/>
      <c r="F44" s="40"/>
      <c r="G44" s="7"/>
      <c r="H44" s="13"/>
      <c r="I44" s="34"/>
      <c r="K44" s="12"/>
    </row>
    <row r="45" spans="1:19" ht="15" customHeight="1" x14ac:dyDescent="0.2">
      <c r="A45" s="6"/>
      <c r="H45" s="13"/>
      <c r="I45" s="13"/>
      <c r="K45" s="12"/>
    </row>
    <row r="46" spans="1:19" x14ac:dyDescent="0.2">
      <c r="A46" s="6"/>
    </row>
    <row r="47" spans="1:19" ht="26" customHeight="1" x14ac:dyDescent="0.3">
      <c r="A47" s="25"/>
      <c r="B47" s="25"/>
      <c r="C47" s="25"/>
      <c r="D47" s="25"/>
      <c r="E47" s="25"/>
      <c r="F47" s="25"/>
      <c r="G47" s="25"/>
      <c r="H47" s="30" t="s">
        <v>45</v>
      </c>
      <c r="I47" s="32">
        <f>I41+SUM(I43:I45)</f>
        <v>14951</v>
      </c>
      <c r="L47" s="20">
        <f>SUM(L10:L46)</f>
        <v>36152.9</v>
      </c>
      <c r="O47" s="20">
        <f>SUM(O10:O46)</f>
        <v>23792.400000000001</v>
      </c>
      <c r="S47" s="20">
        <f>SUM(S10:S46)</f>
        <v>15087</v>
      </c>
    </row>
    <row r="48" spans="1:19" x14ac:dyDescent="0.2">
      <c r="A48" s="35" t="s">
        <v>53</v>
      </c>
      <c r="B48" s="35"/>
      <c r="C48" s="35"/>
      <c r="D48" s="35"/>
      <c r="E48" s="35"/>
      <c r="F48" s="35"/>
      <c r="G48" s="35"/>
      <c r="I48" s="9" t="str">
        <f>"+taxes"</f>
        <v>+taxes</v>
      </c>
    </row>
    <row r="49" spans="1:19" x14ac:dyDescent="0.2">
      <c r="A49" s="35"/>
      <c r="B49" s="35"/>
      <c r="C49" s="35"/>
      <c r="D49" s="35"/>
      <c r="E49" s="35"/>
      <c r="F49" s="35"/>
      <c r="G49" s="35"/>
      <c r="O49" s="11">
        <f>L47-O47</f>
        <v>12360.5</v>
      </c>
      <c r="S49" s="11">
        <f>O47-S47</f>
        <v>8705.4000000000015</v>
      </c>
    </row>
    <row r="50" spans="1:19" x14ac:dyDescent="0.2">
      <c r="A50" s="35"/>
      <c r="B50" s="35"/>
      <c r="C50" s="35"/>
      <c r="D50" s="35"/>
      <c r="E50" s="35"/>
      <c r="F50" s="35"/>
      <c r="G50" s="35"/>
    </row>
  </sheetData>
  <mergeCells count="7">
    <mergeCell ref="A48:G50"/>
    <mergeCell ref="A10:A12"/>
    <mergeCell ref="A13:A17"/>
    <mergeCell ref="A18:A23"/>
    <mergeCell ref="A24:A29"/>
    <mergeCell ref="A30:A34"/>
    <mergeCell ref="B44:F44"/>
  </mergeCells>
  <conditionalFormatting sqref="H10:H34">
    <cfRule type="cellIs" dxfId="23" priority="5" operator="equal">
      <formula>0.05</formula>
    </cfRule>
    <cfRule type="cellIs" dxfId="22" priority="6" operator="equal">
      <formula>0.25</formula>
    </cfRule>
    <cfRule type="cellIs" dxfId="21" priority="7" operator="equal">
      <formula>1</formula>
    </cfRule>
    <cfRule type="cellIs" dxfId="20" priority="8" operator="equal">
      <formula>0.5</formula>
    </cfRule>
  </conditionalFormatting>
  <conditionalFormatting sqref="H43:H45">
    <cfRule type="cellIs" dxfId="19" priority="28" operator="equal">
      <formula>0.5</formula>
    </cfRule>
    <cfRule type="cellIs" dxfId="18" priority="27" operator="equal">
      <formula>1</formula>
    </cfRule>
    <cfRule type="cellIs" dxfId="17" priority="26" operator="equal">
      <formula>0.25</formula>
    </cfRule>
    <cfRule type="cellIs" dxfId="16" priority="25" operator="equal">
      <formula>0.05</formula>
    </cfRule>
  </conditionalFormatting>
  <conditionalFormatting sqref="I45">
    <cfRule type="cellIs" dxfId="15" priority="13" operator="equal">
      <formula>0.05</formula>
    </cfRule>
    <cfRule type="cellIs" dxfId="14" priority="14" operator="equal">
      <formula>0.25</formula>
    </cfRule>
    <cfRule type="cellIs" dxfId="13" priority="15" operator="equal">
      <formula>1</formula>
    </cfRule>
    <cfRule type="cellIs" dxfId="12" priority="16" operator="equal">
      <formula>0.5</formula>
    </cfRule>
  </conditionalFormatting>
  <conditionalFormatting sqref="K10:K34">
    <cfRule type="cellIs" dxfId="11" priority="21" operator="equal">
      <formula>0.05</formula>
    </cfRule>
    <cfRule type="cellIs" dxfId="10" priority="22" operator="equal">
      <formula>0.25</formula>
    </cfRule>
    <cfRule type="cellIs" dxfId="9" priority="23" operator="equal">
      <formula>1</formula>
    </cfRule>
    <cfRule type="cellIs" dxfId="8" priority="24" operator="equal">
      <formula>0.5</formula>
    </cfRule>
  </conditionalFormatting>
  <conditionalFormatting sqref="N10:N34">
    <cfRule type="cellIs" dxfId="7" priority="4" operator="equal">
      <formula>0.5</formula>
    </cfRule>
    <cfRule type="cellIs" dxfId="6" priority="3" operator="equal">
      <formula>1</formula>
    </cfRule>
    <cfRule type="cellIs" dxfId="5" priority="2" operator="equal">
      <formula>0.25</formula>
    </cfRule>
    <cfRule type="cellIs" dxfId="4" priority="1" operator="equal">
      <formula>0.05</formula>
    </cfRule>
  </conditionalFormatting>
  <conditionalFormatting sqref="R10:R34">
    <cfRule type="cellIs" dxfId="3" priority="10" operator="equal">
      <formula>0.25</formula>
    </cfRule>
    <cfRule type="cellIs" dxfId="2" priority="11" operator="equal">
      <formula>1</formula>
    </cfRule>
    <cfRule type="cellIs" dxfId="1" priority="12" operator="equal">
      <formula>0.5</formula>
    </cfRule>
    <cfRule type="cellIs" dxfId="0" priority="9" operator="equal">
      <formula>0.05</formula>
    </cfRule>
  </conditionalFormatting>
  <pageMargins left="0.25" right="0.25" top="0.31944444444444442" bottom="0.3888888888888889" header="0.3" footer="0.3"/>
  <pageSetup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Pedneault</dc:creator>
  <cp:lastModifiedBy>Sylvain Pedneault</cp:lastModifiedBy>
  <cp:lastPrinted>2026-04-17T17:20:25Z</cp:lastPrinted>
  <dcterms:created xsi:type="dcterms:W3CDTF">2026-03-12T00:42:15Z</dcterms:created>
  <dcterms:modified xsi:type="dcterms:W3CDTF">2026-04-17T17:25:28Z</dcterms:modified>
</cp:coreProperties>
</file>